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 firstSheet="2" activeTab="2"/>
  </bookViews>
  <sheets>
    <sheet name="Summary PO Permit" sheetId="15" state="hidden" r:id="rId1"/>
    <sheet name="BoQ NRO Cluster" sheetId="14" state="hidden" r:id="rId2"/>
    <sheet name="BoQ NRO All Feeder" sheetId="16" r:id="rId3"/>
    <sheet name="BoM AE" sheetId="12" r:id="rId4"/>
  </sheets>
  <definedNames>
    <definedName name="_xlnm._FilterDatabase" localSheetId="3" hidden="1">'BoM AE'!$A$1:$J$81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<sst xmlns="http://schemas.openxmlformats.org/spreadsheetml/2006/main" count="3139" uniqueCount="864">
  <si>
    <t>Summary PO RT/RW (CLUSTER NAME)</t>
  </si>
  <si>
    <t>Permit</t>
  </si>
  <si>
    <t>(Permit + PPh  2.65%)</t>
  </si>
  <si>
    <t>DISTRIBUSI - SUBFEEEDER</t>
  </si>
  <si>
    <t xml:space="preserve">AS PLAN </t>
  </si>
  <si>
    <t>BOQ GPON FTTH FOR OPTICAL DISTRIBUTION NETWORK (ODN)</t>
  </si>
  <si>
    <t>OLT Name</t>
  </si>
  <si>
    <t>PT. EKA MAS REPUBLIK
ODN, OSP, Aktivasi, Instalasi, Integrasi, Testing &amp; Dokumentasi</t>
  </si>
  <si>
    <t>Cluster</t>
  </si>
  <si>
    <t>PROJECT ROLL OUT 2024</t>
  </si>
  <si>
    <t>Net Type</t>
  </si>
  <si>
    <t>Aerial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</si>
  <si>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</si>
  <si>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</si>
  <si>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</si>
  <si>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</si>
  <si>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</si>
  <si>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</si>
  <si>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</si>
  <si>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</si>
  <si>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</si>
  <si>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</si>
  <si>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</si>
  <si>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</si>
  <si>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</si>
  <si>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</si>
  <si>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</si>
  <si>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</si>
  <si>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</si>
  <si>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Perizinan dan K3</t>
  </si>
  <si>
    <t>ls</t>
  </si>
  <si>
    <t>PENGAMANAN PERIZINAN DAN K3 (Cluster Only)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</si>
  <si>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</si>
  <si>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</si>
  <si>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</si>
  <si>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</si>
  <si>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</si>
  <si>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</si>
  <si>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</si>
  <si>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</si>
  <si>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</si>
  <si>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</si>
  <si>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</si>
  <si>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</si>
  <si>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</si>
  <si>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</si>
  <si>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</si>
  <si>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</si>
  <si>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</si>
  <si>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</si>
  <si>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</si>
  <si>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</si>
  <si>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</si>
  <si>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</si>
  <si>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</si>
  <si>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</si>
  <si>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</si>
  <si>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</si>
  <si>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</si>
  <si>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</si>
  <si>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</si>
  <si>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</si>
  <si>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</si>
  <si>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</si>
  <si>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</si>
  <si>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</si>
  <si>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</si>
  <si>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</si>
  <si>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</si>
  <si>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</si>
  <si>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</si>
  <si>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Round Cable 1C - 50 m</t>
  </si>
  <si>
    <t>set</t>
  </si>
  <si>
    <t>ROUND CABLE 1C - 50 M</t>
  </si>
  <si>
    <t>Install Round Cable 1C - 50 m</t>
  </si>
  <si>
    <t>INSTALL ROUND CABLE 1C - 50 M</t>
  </si>
  <si>
    <t>Round Cable 1C - 100 m</t>
  </si>
  <si>
    <t>ROUND CABLE 1C - 100 M</t>
  </si>
  <si>
    <t>Install Round Cable 1C - 100 m</t>
  </si>
  <si>
    <t>INSTALL ROUND CABLE 1C - 100 M</t>
  </si>
  <si>
    <t>Round Cable 1C - 150 m</t>
  </si>
  <si>
    <t>ROUND CABLE 1C - 150 M</t>
  </si>
  <si>
    <t>Install Round Cable 1C - 150 m</t>
  </si>
  <si>
    <t>INSTALL ROUND CABLE 1C - 150 M</t>
  </si>
  <si>
    <t>Round Cable 1C - 200 m</t>
  </si>
  <si>
    <t>ROUND CABLE 1C - 200 M</t>
  </si>
  <si>
    <t>Install Round Cable 1C - 200 m</t>
  </si>
  <si>
    <t>INSTALL ROUND CABLE 1C - 200 M</t>
  </si>
  <si>
    <t>Round Cable 1C - 250 m</t>
  </si>
  <si>
    <t>ROUND CABLE 1C - 250 M</t>
  </si>
  <si>
    <t>Install Round Cable 1C - 250 m</t>
  </si>
  <si>
    <t>INSTALL ROUND CABLE 1C - 250 M</t>
  </si>
  <si>
    <t>Round Cable 1C - 300 m</t>
  </si>
  <si>
    <t>ROUND CABLE 1C - 300 M</t>
  </si>
  <si>
    <t>Install 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</si>
  <si>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</si>
  <si>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</si>
  <si>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</si>
  <si>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</si>
  <si>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</si>
  <si>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</si>
  <si>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</si>
  <si>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</si>
  <si>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</si>
  <si>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</si>
  <si>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</si>
  <si>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</si>
  <si>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</si>
  <si>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</si>
  <si>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</si>
  <si>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</si>
  <si>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</si>
  <si>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</si>
  <si>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</si>
  <si>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</si>
  <si>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</si>
  <si>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</si>
  <si>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</si>
  <si>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</si>
  <si>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</si>
  <si>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</si>
  <si>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</si>
  <si>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Hub Box (With Splitter 1:2 Even)</t>
  </si>
  <si>
    <t>unit</t>
  </si>
  <si>
    <t>HUB BOX (WITH SPLITTER 1:2 EVEN)</t>
  </si>
  <si>
    <t>Install Hub Box (With Splitter 1:2 Even)</t>
  </si>
  <si>
    <t>INSTALL HUB BOX (WITH SPLITTER 1:2 EVEN)</t>
  </si>
  <si>
    <t>C</t>
  </si>
  <si>
    <t>Optical Splitter (Bracket Mount Type, SC/APC)</t>
  </si>
  <si>
    <t>Splitter 1:4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</si>
  <si>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</si>
  <si>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</si>
  <si>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</si>
  <si>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</si>
  <si>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</si>
  <si>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</si>
  <si>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</si>
  <si>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</si>
  <si>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</si>
  <si>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</si>
  <si>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</si>
  <si>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</si>
  <si>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</si>
  <si>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charset val="134"/>
        <scheme val="minor"/>
      </rPr>
      <t xml:space="preserve">Instal Pole mounted outdoor type (16 ports type) </t>
    </r>
    <r>
      <rPr>
        <sz val="10"/>
        <color rgb="FFFF0000"/>
        <rFont val="Calibri"/>
        <charset val="134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</si>
  <si>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</si>
  <si>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</si>
  <si>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</si>
  <si>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</si>
  <si>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Instalasi FAT Underground 8 Port</t>
  </si>
  <si>
    <t>INSTALASI FAT UNDERGROUND 8 PORT</t>
  </si>
  <si>
    <t>Instalasi FAT Underground 16 Port</t>
  </si>
  <si>
    <t>INSTALASI FAT UNDERGROUND 16 PORT</t>
  </si>
  <si>
    <t>Sub Box (With Splitter 1:9, Uneven 70/30)</t>
  </si>
  <si>
    <t>SUB BOX (WITH SPLITTER 1:9, UNEVEN 70/30</t>
  </si>
  <si>
    <t>Install Sub Box (With Splitter 1:9, Uneven)</t>
  </si>
  <si>
    <t>INSTALL SUB BOX (WITHSPLITTER1:9,UNEVEN)</t>
  </si>
  <si>
    <t>End Box (With Splitter 1:8, Even)</t>
  </si>
  <si>
    <t>END BOX (WITH SPLITTER 1:8, EVEN)</t>
  </si>
  <si>
    <t>Install End Box (With Splitter 1:8, Even)</t>
  </si>
  <si>
    <t>INSTALL END BOX (WITH SPLITTER 1:8, EVEN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</si>
  <si>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</si>
  <si>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</si>
  <si>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</si>
  <si>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</si>
  <si>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</si>
  <si>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</si>
  <si>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</si>
  <si>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</si>
  <si>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</si>
  <si>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</si>
  <si>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</si>
  <si>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</si>
  <si>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</si>
  <si>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</si>
  <si>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</si>
  <si>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</si>
  <si>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</si>
  <si>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</si>
  <si>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</si>
  <si>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</si>
  <si>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</si>
  <si>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</si>
  <si>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</si>
  <si>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</si>
  <si>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</si>
  <si>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</si>
  <si>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</si>
  <si>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</si>
  <si>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</si>
  <si>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</si>
  <si>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</si>
  <si>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</si>
  <si>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</si>
  <si>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</si>
  <si>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</si>
  <si>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</si>
  <si>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</si>
  <si>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</si>
  <si>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</si>
  <si>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</si>
  <si>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</si>
  <si>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</si>
  <si>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</si>
  <si>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</si>
  <si>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</si>
  <si>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</si>
  <si>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</si>
  <si>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</si>
  <si>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</si>
  <si>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</si>
  <si>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</si>
  <si>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</si>
  <si>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</si>
  <si>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</si>
  <si>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</si>
  <si>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</si>
  <si>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</si>
  <si>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</si>
  <si>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</si>
  <si>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</si>
  <si>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</si>
  <si>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</si>
  <si>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</si>
  <si>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</si>
  <si>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</si>
  <si>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</si>
  <si>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</si>
  <si>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</si>
  <si>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</si>
  <si>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</si>
  <si>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</si>
  <si>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</si>
  <si>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</si>
  <si>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</si>
  <si>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</si>
  <si>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</si>
  <si>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</si>
  <si>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</si>
  <si>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</si>
  <si>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</si>
  <si>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</si>
  <si>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</si>
  <si>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</si>
  <si>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</si>
  <si>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</si>
  <si>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</si>
  <si>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</si>
  <si>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</si>
  <si>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</si>
  <si>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</si>
  <si>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</si>
  <si>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</si>
  <si>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</si>
  <si>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</si>
  <si>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</si>
  <si>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</si>
  <si>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</si>
  <si>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</si>
  <si>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</si>
  <si>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</si>
  <si>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</si>
  <si>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</si>
  <si>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</si>
  <si>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</si>
  <si>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</si>
  <si>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</si>
  <si>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</si>
  <si>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</si>
  <si>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</si>
  <si>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</si>
  <si>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</si>
  <si>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</si>
  <si>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</si>
  <si>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</si>
  <si>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</si>
  <si>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</si>
  <si>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</si>
  <si>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</si>
  <si>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</si>
  <si>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</si>
  <si>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</si>
  <si>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charset val="134"/>
        <scheme val="minor"/>
      </rPr>
      <t>meter</t>
    </r>
    <r>
      <rPr>
        <vertAlign val="superscript"/>
        <sz val="10"/>
        <rFont val="Calibri"/>
        <charset val="134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</si>
  <si>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</si>
  <si>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</si>
  <si>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</si>
  <si>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</si>
  <si>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</si>
  <si>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</si>
  <si>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</si>
  <si>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</si>
  <si>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</si>
  <si>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</si>
  <si>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</si>
  <si>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</si>
  <si>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</si>
  <si>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</si>
  <si>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</si>
  <si>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</si>
  <si>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</si>
  <si>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</si>
  <si>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</si>
  <si>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</si>
  <si>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</si>
  <si>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</si>
  <si>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</si>
  <si>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</si>
  <si>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</si>
  <si>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</si>
  <si>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</si>
  <si>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</si>
  <si>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</si>
  <si>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</si>
  <si>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</si>
  <si>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</si>
  <si>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</si>
  <si>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</si>
  <si>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</si>
  <si>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</si>
  <si>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</si>
  <si>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</si>
  <si>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</si>
  <si>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</si>
  <si>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</si>
  <si>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</si>
  <si>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</si>
  <si>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</si>
  <si>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</si>
  <si>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</si>
  <si>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</si>
  <si>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</si>
  <si>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</si>
  <si>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</si>
  <si>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</si>
  <si>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</si>
  <si>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</si>
  <si>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</si>
  <si>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</si>
  <si>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</si>
  <si>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</si>
  <si>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</si>
  <si>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</si>
  <si>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</si>
  <si>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</si>
  <si>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</si>
  <si>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</si>
  <si>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</si>
  <si>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</si>
  <si>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</si>
  <si>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</si>
  <si>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</si>
  <si>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</si>
  <si>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</si>
  <si>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</si>
  <si>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</si>
  <si>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</si>
  <si>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</si>
  <si>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</si>
  <si>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</si>
  <si>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</si>
  <si>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</si>
  <si>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</si>
  <si>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</si>
  <si>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</si>
  <si>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</si>
  <si>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</si>
  <si>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</si>
  <si>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</si>
  <si>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</si>
  <si>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</si>
  <si>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</si>
  <si>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</si>
  <si>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</si>
  <si>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</si>
  <si>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</si>
  <si>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</si>
  <si>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</si>
  <si>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</si>
  <si>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</si>
  <si>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</si>
  <si>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</si>
  <si>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</si>
  <si>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</si>
  <si>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</si>
  <si>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</si>
  <si>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</si>
  <si>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</si>
  <si>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</si>
  <si>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</si>
  <si>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</si>
  <si>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</si>
  <si>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</si>
  <si>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</si>
  <si>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</si>
  <si>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</si>
  <si>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</si>
  <si>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</si>
  <si>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</si>
  <si>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</si>
  <si>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</si>
  <si>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</si>
  <si>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</si>
  <si>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</si>
  <si>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</si>
  <si>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</si>
  <si>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</si>
  <si>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</si>
  <si>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</si>
  <si>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</si>
  <si>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</si>
  <si>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</si>
  <si>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</si>
  <si>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</si>
  <si>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</si>
  <si>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</si>
  <si>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</si>
  <si>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</si>
  <si>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</si>
  <si>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</si>
  <si>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</si>
  <si>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</si>
  <si>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</si>
  <si>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</si>
  <si>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</si>
  <si>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</si>
  <si>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</si>
  <si>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</si>
  <si>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</si>
  <si>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</si>
  <si>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</si>
  <si>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</si>
  <si>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</si>
  <si>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</si>
  <si>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</si>
  <si>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</si>
  <si>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</si>
  <si>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</si>
  <si>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</si>
  <si>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</si>
  <si>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</si>
  <si>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</si>
  <si>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</si>
  <si>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</si>
  <si>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</si>
  <si>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</si>
  <si>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</si>
  <si>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</si>
  <si>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</si>
  <si>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</si>
  <si>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</si>
  <si>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</si>
  <si>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</si>
  <si>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</si>
  <si>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</si>
  <si>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</si>
  <si>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POLE / TIANG UDARA 7 METER 2.5</t>
  </si>
  <si>
    <t>Pemasangan Pole / Tiang Udara 7 M 2.5</t>
  </si>
  <si>
    <t>PEMASANGAN POLE / TIANG UDARA 7 M 2.5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</si>
  <si>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</si>
  <si>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</si>
  <si>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</si>
  <si>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</si>
  <si>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</si>
  <si>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</si>
  <si>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</si>
  <si>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</si>
  <si>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</si>
  <si>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</si>
  <si>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</si>
  <si>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</si>
  <si>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</si>
  <si>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</si>
  <si>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</si>
  <si>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</si>
  <si>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</si>
  <si>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</si>
  <si>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</si>
  <si>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</si>
  <si>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</si>
  <si>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</si>
  <si>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</si>
  <si>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</si>
  <si>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</si>
  <si>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</si>
  <si>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</si>
  <si>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</si>
  <si>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</si>
  <si>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</si>
  <si>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</si>
  <si>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</si>
  <si>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</si>
  <si>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</si>
  <si>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</si>
  <si>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</si>
  <si>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</si>
  <si>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</si>
  <si>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</si>
  <si>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</si>
  <si>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</si>
  <si>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</si>
  <si>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</si>
  <si>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</si>
  <si>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</si>
  <si>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</si>
  <si>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</si>
  <si>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</si>
  <si>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</si>
  <si>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</si>
  <si>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</si>
  <si>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</si>
  <si>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</si>
  <si>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</si>
  <si>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</si>
  <si>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</si>
  <si>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</si>
  <si>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</si>
  <si>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</si>
  <si>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</si>
  <si>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</si>
  <si>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</si>
  <si>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</si>
  <si>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</si>
  <si>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</si>
  <si>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</si>
  <si>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</si>
  <si>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</si>
  <si>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</si>
  <si>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</si>
  <si>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</si>
  <si>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</si>
  <si>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</si>
  <si>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</si>
  <si>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</si>
  <si>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</si>
  <si>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</si>
  <si>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</si>
  <si>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</si>
  <si>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</si>
  <si>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</si>
  <si>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</si>
  <si>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</si>
  <si>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</si>
  <si>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</si>
  <si>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</si>
  <si>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</si>
  <si>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</si>
  <si>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</si>
  <si>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</si>
  <si>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</si>
  <si>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</si>
  <si>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</si>
  <si>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</si>
  <si>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</si>
  <si>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</si>
  <si>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</si>
  <si>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</si>
  <si>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</si>
  <si>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</si>
  <si>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</si>
  <si>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</si>
  <si>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</si>
  <si>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</si>
  <si>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</si>
  <si>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</si>
  <si>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</si>
  <si>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</si>
  <si>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</si>
  <si>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</si>
  <si>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</si>
  <si>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</si>
  <si>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</si>
  <si>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</si>
  <si>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</si>
  <si>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</si>
  <si>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</si>
  <si>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</si>
  <si>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</si>
  <si>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</si>
  <si>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</si>
  <si>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</si>
  <si>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</si>
  <si>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</si>
  <si>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</si>
  <si>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</si>
  <si>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</si>
  <si>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</si>
  <si>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</si>
  <si>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</si>
  <si>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</si>
  <si>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</si>
  <si>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</si>
  <si>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</si>
  <si>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</si>
  <si>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</si>
  <si>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</si>
  <si>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</si>
  <si>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</si>
  <si>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</si>
  <si>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</si>
  <si>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</si>
  <si>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</si>
  <si>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</si>
  <si>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</si>
  <si>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</si>
  <si>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</si>
  <si>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</si>
  <si>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</si>
  <si>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</si>
  <si>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</si>
  <si>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</si>
  <si>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</si>
  <si>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</si>
  <si>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</si>
  <si>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</si>
  <si>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</si>
  <si>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</si>
  <si>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</si>
  <si>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</si>
  <si>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</si>
  <si>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</si>
  <si>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</si>
  <si>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</si>
  <si>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</si>
  <si>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Fiberhome Technologies Indonesia</t>
  </si>
  <si>
    <t>PT. Eka Mas Repulik</t>
  </si>
  <si>
    <t>Responsibility Vendor :</t>
  </si>
  <si>
    <t>Responsibility Customer :</t>
  </si>
  <si>
    <t xml:space="preserve">Name : </t>
  </si>
  <si>
    <t>ID :</t>
  </si>
  <si>
    <t>ID</t>
  </si>
  <si>
    <t>Signature :</t>
  </si>
  <si>
    <t xml:space="preserve">Date: </t>
  </si>
  <si>
    <t>XXX</t>
  </si>
  <si>
    <t>Pengamanan &amp; Persiapan (Kesehatan dan Keselamatan Kerja)</t>
  </si>
  <si>
    <t>PENGAMANAN &amp; PERSIAPAN</t>
  </si>
  <si>
    <t>500002088</t>
  </si>
  <si>
    <t>500002089</t>
  </si>
  <si>
    <t>200001040</t>
  </si>
  <si>
    <t>500002054</t>
  </si>
  <si>
    <t>200001041</t>
  </si>
  <si>
    <t>500002055</t>
  </si>
  <si>
    <t>200001042</t>
  </si>
  <si>
    <t>500002062</t>
  </si>
  <si>
    <t>200001043</t>
  </si>
  <si>
    <t>500002073</t>
  </si>
  <si>
    <t>200001044</t>
  </si>
  <si>
    <t>500002084</t>
  </si>
  <si>
    <t>200001045</t>
  </si>
  <si>
    <t>200001009</t>
  </si>
  <si>
    <t>200001028</t>
  </si>
  <si>
    <t>200001011</t>
  </si>
  <si>
    <t>500002092</t>
  </si>
  <si>
    <t>500002093</t>
  </si>
  <si>
    <t>500002094</t>
  </si>
  <si>
    <t>500002117</t>
  </si>
  <si>
    <t>500002118</t>
  </si>
  <si>
    <t>500002119</t>
  </si>
  <si>
    <t>500002120</t>
  </si>
  <si>
    <t>500002121</t>
  </si>
  <si>
    <t>200000994</t>
  </si>
  <si>
    <t>200000282</t>
  </si>
  <si>
    <t>200000292</t>
  </si>
  <si>
    <t>200000742</t>
  </si>
  <si>
    <t>200001022</t>
  </si>
  <si>
    <t>200001035</t>
  </si>
  <si>
    <t>200001003</t>
  </si>
  <si>
    <t>200001023</t>
  </si>
  <si>
    <t>200001000</t>
  </si>
  <si>
    <t>200001008</t>
  </si>
  <si>
    <t>200001018</t>
  </si>
  <si>
    <t>200000993</t>
  </si>
  <si>
    <t>200001021</t>
  </si>
  <si>
    <t>200000991</t>
  </si>
  <si>
    <t>200000997</t>
  </si>
  <si>
    <t>200001027</t>
  </si>
  <si>
    <t>200001006</t>
  </si>
  <si>
    <t>200001014</t>
  </si>
  <si>
    <t>200000999</t>
  </si>
  <si>
    <t>200000267</t>
  </si>
  <si>
    <t>200000978</t>
  </si>
  <si>
    <t>200001032</t>
  </si>
  <si>
    <t>500002060</t>
  </si>
  <si>
    <t>500001316</t>
  </si>
  <si>
    <t>200000992</t>
  </si>
  <si>
    <t>500002061</t>
  </si>
  <si>
    <t>200001013</t>
  </si>
  <si>
    <t>500002063</t>
  </si>
  <si>
    <t>200000977</t>
  </si>
  <si>
    <t>200000995</t>
  </si>
  <si>
    <t>500002067</t>
  </si>
  <si>
    <t>500001293</t>
  </si>
  <si>
    <t>200000979</t>
  </si>
  <si>
    <t>200001007</t>
  </si>
  <si>
    <t>200001001</t>
  </si>
  <si>
    <t>500002069</t>
  </si>
  <si>
    <t>200001005</t>
  </si>
  <si>
    <t>500002070</t>
  </si>
  <si>
    <t>200001036</t>
  </si>
  <si>
    <t>500002071</t>
  </si>
  <si>
    <t>200001002</t>
  </si>
  <si>
    <t>500002072</t>
  </si>
  <si>
    <t>200001010</t>
  </si>
  <si>
    <t>500002074</t>
  </si>
  <si>
    <t>200001020</t>
  </si>
  <si>
    <t>500002075</t>
  </si>
  <si>
    <t>200001037</t>
  </si>
  <si>
    <t>500002076</t>
  </si>
  <si>
    <t>200001029</t>
  </si>
  <si>
    <t>500002077</t>
  </si>
  <si>
    <t>200001026</t>
  </si>
  <si>
    <t>500002078</t>
  </si>
  <si>
    <t>200000990</t>
  </si>
  <si>
    <t>500002079</t>
  </si>
  <si>
    <t>200001019</t>
  </si>
  <si>
    <t>500002080</t>
  </si>
  <si>
    <t>100000187</t>
  </si>
  <si>
    <t>100000188</t>
  </si>
  <si>
    <t>100000189</t>
  </si>
  <si>
    <t>100000820</t>
  </si>
  <si>
    <t>100000821</t>
  </si>
  <si>
    <t>200001025</t>
  </si>
  <si>
    <t>200001024</t>
  </si>
  <si>
    <t>200000251</t>
  </si>
  <si>
    <t>500002085</t>
  </si>
  <si>
    <t>500002106</t>
  </si>
  <si>
    <t>500002107</t>
  </si>
  <si>
    <t>500002110</t>
  </si>
  <si>
    <t>500002111</t>
  </si>
  <si>
    <t>500002112</t>
  </si>
  <si>
    <t>500002086</t>
  </si>
  <si>
    <t>500002087</t>
  </si>
  <si>
    <t>(Vendor Name)</t>
  </si>
  <si>
    <t>Name :</t>
  </si>
  <si>
    <t xml:space="preserve">ID : </t>
  </si>
  <si>
    <t>Date:</t>
  </si>
  <si>
    <t>Date:     /    /2025</t>
  </si>
  <si>
    <t xml:space="preserve">BoM Cluster - </t>
  </si>
  <si>
    <t>Qty</t>
  </si>
  <si>
    <t>FDT 1</t>
  </si>
  <si>
    <t>FDT 2</t>
  </si>
  <si>
    <t>FDT 3</t>
  </si>
  <si>
    <t>FDT 4</t>
  </si>
  <si>
    <t>FDT 5</t>
  </si>
  <si>
    <t>BoM - Main/Hub/Sub Feeder</t>
  </si>
  <si>
    <t>Units</t>
  </si>
  <si>
    <t>Total Rute</t>
  </si>
  <si>
    <t>Line A - 24C/2T</t>
  </si>
  <si>
    <t>m</t>
  </si>
  <si>
    <t>qty based on design</t>
  </si>
  <si>
    <t>Total Route to FDT</t>
  </si>
  <si>
    <t>24C/2T</t>
  </si>
  <si>
    <t>Line B - 24C/2T</t>
  </si>
  <si>
    <t>36C/3T</t>
  </si>
  <si>
    <t>Line C - 24C/2T</t>
  </si>
  <si>
    <t>48C/4T</t>
  </si>
  <si>
    <t>Line D - 24C/2T</t>
  </si>
  <si>
    <t>72C/6T</t>
  </si>
  <si>
    <t>Line A - 36C/3T</t>
  </si>
  <si>
    <t>96C/8T</t>
  </si>
  <si>
    <t>Line B - 36C/3T</t>
  </si>
  <si>
    <t>144C/12T</t>
  </si>
  <si>
    <t>auto based on formula</t>
  </si>
  <si>
    <t>Line C - 36C/3T</t>
  </si>
  <si>
    <t>288C/24T</t>
  </si>
  <si>
    <t>Line D - 36C/3T</t>
  </si>
  <si>
    <t>Total Panjang Kabel to FDT (Slack + toleransi 5%)</t>
  </si>
  <si>
    <t>Line A - 48C/4T</t>
  </si>
  <si>
    <t>Line B - 48C/4T</t>
  </si>
  <si>
    <t>Line C - 48C/4T</t>
  </si>
  <si>
    <t>Line D - 48C/4T</t>
  </si>
  <si>
    <t>auto (based on formula)</t>
  </si>
  <si>
    <t>Rute Strand Wire</t>
  </si>
  <si>
    <t>Total Panjang Kabel (Slack + Toleransi 5%)</t>
  </si>
  <si>
    <t>Total Coil / Slack</t>
  </si>
  <si>
    <t>Closure</t>
  </si>
  <si>
    <t>units</t>
  </si>
  <si>
    <t>Total Panjang Cable</t>
  </si>
  <si>
    <t>Panjang Strand Wire + toleransi 5%</t>
  </si>
  <si>
    <t>Fiber Optic Joint Closure Type In-line 288 Core</t>
  </si>
  <si>
    <t>Total FDT Pole Mounted</t>
  </si>
  <si>
    <t>FDT Pole Mounted 48 core</t>
  </si>
  <si>
    <t>FDT Pole Mounted 72 core</t>
  </si>
  <si>
    <t>FDT Pole Mounted 96 core</t>
  </si>
  <si>
    <t>FDT Ground Mounted 144 core</t>
  </si>
  <si>
    <t>Total Splitter</t>
  </si>
  <si>
    <t>Modular 1:8 di FDT</t>
  </si>
  <si>
    <t>FAT 1:8</t>
  </si>
  <si>
    <t>Total FAT</t>
  </si>
  <si>
    <t>Line A</t>
  </si>
  <si>
    <t>Line B</t>
  </si>
  <si>
    <t>Accessoris (1 set every acc)</t>
  </si>
  <si>
    <t>Line C</t>
  </si>
  <si>
    <t>Line D</t>
  </si>
  <si>
    <t>Total Slack di FDT</t>
  </si>
  <si>
    <t>slack</t>
  </si>
  <si>
    <t>3. Buldog grip</t>
  </si>
  <si>
    <t>7.Clamps Dead end Fittings/clamp buaya</t>
  </si>
  <si>
    <t>8. Bahan Pondasi tiang</t>
  </si>
  <si>
    <t>Total Slack di FAT</t>
  </si>
  <si>
    <t>6. Pole clamp single</t>
  </si>
  <si>
    <t>9. Steel clamp</t>
  </si>
  <si>
    <t>Panjang Slack</t>
  </si>
  <si>
    <t>Strand Wire</t>
  </si>
  <si>
    <t>Label</t>
  </si>
  <si>
    <t>Label Cable</t>
  </si>
  <si>
    <t>Pole</t>
  </si>
  <si>
    <t>New Pole 7m 4"</t>
  </si>
  <si>
    <t>New Pole 7m 3"</t>
  </si>
  <si>
    <t>Label FAT include QR code</t>
  </si>
  <si>
    <t>New Pole 7m 2.5"</t>
  </si>
  <si>
    <t>New Pole 7m 5"</t>
  </si>
  <si>
    <t>7m 5" (for Distribution Pole / FDT Pole)</t>
  </si>
  <si>
    <t>New Pole 9m 4"</t>
  </si>
  <si>
    <t>7m 4" (for Feeder Pole / FDT Pole)</t>
  </si>
  <si>
    <t>New Pole 9m 5"</t>
  </si>
  <si>
    <t>7m 3" (for Distribution Pole/Home Connect)</t>
  </si>
  <si>
    <t>Existing Pole LN</t>
  </si>
  <si>
    <t>7m 2.5"</t>
  </si>
  <si>
    <t>Existing Pole TELKOM</t>
  </si>
  <si>
    <t>9m 5" (for crossing roads)</t>
  </si>
  <si>
    <t>Existing Pole PEMKOT</t>
  </si>
  <si>
    <t>9m 4" (for crossing roads)</t>
  </si>
  <si>
    <t>Existing Pole SIMS</t>
  </si>
  <si>
    <t>Existing Pole EMR</t>
  </si>
  <si>
    <t>Existing Pole MTI</t>
  </si>
  <si>
    <t>Existing Pole MR</t>
  </si>
  <si>
    <t>Lable Pole</t>
  </si>
  <si>
    <t>qty based on design UG, sesuai rute cable sub feeder</t>
  </si>
  <si>
    <t>Total Core</t>
  </si>
  <si>
    <t>Total Core MF/HF</t>
  </si>
  <si>
    <t>Total Core SF</t>
  </si>
  <si>
    <t>Splicing Joint Closure MF/HF</t>
  </si>
  <si>
    <t>Splicing Joint Closure SF</t>
  </si>
  <si>
    <t>Bahan pondasi tiang</t>
  </si>
  <si>
    <t>Trenching</t>
  </si>
  <si>
    <t>qty based on design (untuk implementasi long span, diinstal per 2 m)</t>
  </si>
  <si>
    <t>Boring manual 150cm</t>
  </si>
  <si>
    <t>Boring manual Crossing</t>
  </si>
  <si>
    <t>Subduct</t>
  </si>
  <si>
    <t>Toleransi panjang Sub Duct 40/34</t>
  </si>
  <si>
    <t xml:space="preserve">Total Concrete HH </t>
  </si>
  <si>
    <t>FDT : 80 x 80 x 130 cm</t>
  </si>
  <si>
    <t>at FDT</t>
  </si>
  <si>
    <t xml:space="preserve">Socket HDPE </t>
  </si>
  <si>
    <t>at FAT</t>
  </si>
  <si>
    <t>Warning tape</t>
  </si>
  <si>
    <t xml:space="preserve"> (Tulisan KABEL MY REPUBLIC)</t>
  </si>
  <si>
    <t>10. Testcom FAT</t>
  </si>
  <si>
    <t>riser pipe</t>
  </si>
  <si>
    <t>11. Testcom FDT</t>
  </si>
  <si>
    <t xml:space="preserve">Total FDT </t>
  </si>
  <si>
    <t>Survey and Design</t>
  </si>
  <si>
    <t>Total rute survey</t>
  </si>
  <si>
    <t>Cable Looping/Tektok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</si>
  <si>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</si>
  <si>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</si>
  <si>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</si>
  <si>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</si>
  <si>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</si>
  <si>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</si>
  <si>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</si>
  <si>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</si>
  <si>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</si>
  <si>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</si>
  <si>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Sling Wire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</si>
</sst>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  <numFmt numFmtId="178" formatCode="_-* #.##0_-;\-* #.##0_-;_-* &quot;-&quot;_-;_-@_-"/>
    <numFmt numFmtId="179" formatCode="_(* #.##0_);_(* \(#.##0\);_(* &quot;-&quot;_);_(@_)"/>
    <numFmt numFmtId="180" formatCode="_(* #.##0.00_);_(* \(#.##0.00\);_(* &quot;-&quot;??_);_(@_)"/>
    <numFmt numFmtId="181" formatCode="_-&quot;£&quot;* #,##0_-;\-&quot;£&quot;* #,##0_-;_-&quot;£&quot;* &quot;-&quot;_-;_-@_-"/>
    <numFmt numFmtId="182" formatCode="_-&quot;£&quot;* #.##0_-;\-&quot;£&quot;* #.##0_-;_-&quot;£&quot;* &quot;-&quot;_-;_-@_-"/>
    <numFmt numFmtId="183" formatCode="0;\-0;;@"/>
    <numFmt numFmtId="184" formatCode="_(&quot;Rp&quot;* #,##0_);_(&quot;Rp&quot;* \(#,##0\);_(&quot;Rp&quot;* &quot;-&quot;_);_(@_)"/>
    <numFmt numFmtId="185" formatCode="_([$Rp-421]* #,##0.00_);_([$Rp-421]* \(#,##0.00\);_([$Rp-421]* &quot;-&quot;??_);_(@_)"/>
    <numFmt numFmtId="186" formatCode="_([$$-409]* #,##0.00_);_([$$-409]* \(#,##0.00\);_([$$-409]* &quot;-&quot;??_);_(@_)"/>
  </numFmts>
  <fonts count="4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sz val="10"/>
      <color indexed="8"/>
      <name val="Calibri"/>
      <charset val="134"/>
      <scheme val="minor"/>
    </font>
    <font>
      <b/>
      <sz val="10"/>
      <color indexed="8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sz val="10"/>
      <color rgb="FF000000"/>
      <name val="Arial"/>
      <charset val="134"/>
    </font>
    <font>
      <b/>
      <sz val="10"/>
      <color rgb="FFFF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vertAlign val="superscript"/>
      <sz val="10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5" borderId="2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6" borderId="26" applyNumberFormat="0" applyAlignment="0" applyProtection="0">
      <alignment vertical="center"/>
    </xf>
    <xf numFmtId="0" fontId="31" fillId="17" borderId="27" applyNumberFormat="0" applyAlignment="0" applyProtection="0">
      <alignment vertical="center"/>
    </xf>
    <xf numFmtId="0" fontId="32" fillId="17" borderId="26" applyNumberFormat="0" applyAlignment="0" applyProtection="0">
      <alignment vertical="center"/>
    </xf>
    <xf numFmtId="0" fontId="33" fillId="18" borderId="28" applyNumberFormat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180" fontId="41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0" borderId="0"/>
    <xf numFmtId="0" fontId="41" fillId="0" borderId="0">
      <alignment vertical="center"/>
    </xf>
    <xf numFmtId="0" fontId="41" fillId="0" borderId="0">
      <alignment vertical="center"/>
    </xf>
    <xf numFmtId="0" fontId="0" fillId="0" borderId="0"/>
  </cellStyleXfs>
  <cellXfs count="314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83" fontId="0" fillId="3" borderId="1" xfId="0" applyNumberFormat="1" applyFill="1" applyBorder="1"/>
    <xf numFmtId="183" fontId="0" fillId="4" borderId="1" xfId="0" applyNumberFormat="1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183" fontId="0" fillId="2" borderId="1" xfId="0" applyNumberFormat="1" applyFill="1" applyBorder="1"/>
    <xf numFmtId="0" fontId="0" fillId="5" borderId="1" xfId="0" applyFill="1" applyBorder="1"/>
    <xf numFmtId="183" fontId="0" fillId="6" borderId="1" xfId="0" applyNumberFormat="1" applyFill="1" applyBorder="1"/>
    <xf numFmtId="0" fontId="2" fillId="0" borderId="1" xfId="0" applyFont="1" applyBorder="1"/>
    <xf numFmtId="0" fontId="2" fillId="5" borderId="1" xfId="0" applyFont="1" applyFill="1" applyBorder="1"/>
    <xf numFmtId="183" fontId="0" fillId="7" borderId="1" xfId="0" applyNumberFormat="1" applyFill="1" applyBorder="1"/>
    <xf numFmtId="0" fontId="0" fillId="7" borderId="1" xfId="0" applyFill="1" applyBorder="1"/>
    <xf numFmtId="1" fontId="2" fillId="7" borderId="1" xfId="0" applyNumberFormat="1" applyFont="1" applyFill="1" applyBorder="1"/>
    <xf numFmtId="0" fontId="2" fillId="7" borderId="1" xfId="0" applyFont="1" applyFill="1" applyBorder="1"/>
    <xf numFmtId="0" fontId="0" fillId="8" borderId="1" xfId="0" applyFill="1" applyBorder="1"/>
    <xf numFmtId="183" fontId="0" fillId="8" borderId="1" xfId="0" applyNumberFormat="1" applyFill="1" applyBorder="1"/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/>
    <xf numFmtId="0" fontId="3" fillId="3" borderId="1" xfId="0" applyNumberFormat="1" applyFont="1" applyFill="1" applyBorder="1"/>
    <xf numFmtId="0" fontId="2" fillId="0" borderId="1" xfId="0" applyNumberFormat="1" applyFont="1" applyBorder="1"/>
    <xf numFmtId="0" fontId="4" fillId="3" borderId="1" xfId="0" applyFont="1" applyFill="1" applyBorder="1" applyAlignment="1">
      <alignment vertical="center"/>
    </xf>
    <xf numFmtId="0" fontId="4" fillId="3" borderId="1" xfId="57" applyFont="1" applyFill="1" applyBorder="1" applyAlignment="1">
      <alignment vertical="center"/>
    </xf>
    <xf numFmtId="0" fontId="0" fillId="8" borderId="1" xfId="0" applyFill="1" applyBorder="1" applyAlignment="1">
      <alignment horizontal="right" vertical="center"/>
    </xf>
    <xf numFmtId="0" fontId="0" fillId="0" borderId="1" xfId="58" applyBorder="1"/>
    <xf numFmtId="0" fontId="0" fillId="3" borderId="1" xfId="58" applyFill="1" applyBorder="1"/>
    <xf numFmtId="0" fontId="0" fillId="8" borderId="1" xfId="58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5" fillId="9" borderId="0" xfId="0" applyFont="1" applyFill="1"/>
    <xf numFmtId="0" fontId="5" fillId="6" borderId="0" xfId="0" applyFont="1" applyFill="1"/>
    <xf numFmtId="0" fontId="6" fillId="7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5" fillId="7" borderId="0" xfId="0" applyFont="1" applyFill="1"/>
    <xf numFmtId="0" fontId="8" fillId="10" borderId="5" xfId="62" applyFont="1" applyFill="1" applyBorder="1" applyAlignment="1">
      <alignment horizontal="left" vertical="center"/>
    </xf>
    <xf numFmtId="0" fontId="9" fillId="10" borderId="6" xfId="62" applyFont="1" applyFill="1" applyBorder="1" applyAlignment="1"/>
    <xf numFmtId="0" fontId="9" fillId="10" borderId="6" xfId="62" applyFont="1" applyFill="1" applyBorder="1" applyAlignment="1">
      <alignment horizontal="center"/>
    </xf>
    <xf numFmtId="0" fontId="10" fillId="10" borderId="0" xfId="62" applyFont="1" applyFill="1" applyAlignment="1">
      <alignment horizontal="center"/>
    </xf>
    <xf numFmtId="0" fontId="9" fillId="10" borderId="0" xfId="62" applyFont="1" applyFill="1" applyAlignment="1">
      <alignment horizontal="center"/>
    </xf>
    <xf numFmtId="0" fontId="10" fillId="10" borderId="7" xfId="62" applyFont="1" applyFill="1" applyBorder="1" applyAlignment="1">
      <alignment horizontal="left" vertical="center"/>
    </xf>
    <xf numFmtId="0" fontId="9" fillId="10" borderId="0" xfId="62" applyFont="1" applyFill="1" applyAlignment="1"/>
    <xf numFmtId="0" fontId="10" fillId="10" borderId="0" xfId="62" applyFont="1" applyFill="1" applyAlignment="1">
      <alignment horizontal="left" vertical="center" wrapText="1"/>
    </xf>
    <xf numFmtId="0" fontId="10" fillId="10" borderId="0" xfId="62" applyFont="1" applyFill="1" applyAlignment="1">
      <alignment horizontal="left" vertical="center"/>
    </xf>
    <xf numFmtId="3" fontId="7" fillId="10" borderId="0" xfId="4" applyNumberFormat="1" applyFont="1" applyFill="1" applyBorder="1" applyAlignment="1">
      <alignment horizontal="center" vertical="center"/>
    </xf>
    <xf numFmtId="3" fontId="10" fillId="10" borderId="0" xfId="4" applyNumberFormat="1" applyFont="1" applyFill="1" applyBorder="1" applyAlignment="1">
      <alignment horizontal="center" vertical="center" wrapText="1"/>
    </xf>
    <xf numFmtId="0" fontId="10" fillId="10" borderId="7" xfId="62" applyFont="1" applyFill="1" applyBorder="1" applyAlignment="1">
      <alignment horizontal="center"/>
    </xf>
    <xf numFmtId="0" fontId="10" fillId="7" borderId="1" xfId="62" applyFont="1" applyFill="1" applyBorder="1" applyAlignment="1">
      <alignment horizontal="center" vertical="center"/>
    </xf>
    <xf numFmtId="0" fontId="10" fillId="7" borderId="1" xfId="62" applyFont="1" applyFill="1" applyBorder="1">
      <alignment vertical="center"/>
    </xf>
    <xf numFmtId="43" fontId="10" fillId="7" borderId="2" xfId="53" applyFont="1" applyFill="1" applyBorder="1" applyAlignment="1">
      <alignment horizontal="center" vertical="center"/>
    </xf>
    <xf numFmtId="3" fontId="10" fillId="7" borderId="2" xfId="4" applyNumberFormat="1" applyFont="1" applyFill="1" applyBorder="1" applyAlignment="1">
      <alignment horizontal="center" vertical="center" wrapText="1"/>
    </xf>
    <xf numFmtId="3" fontId="10" fillId="7" borderId="2" xfId="4" applyNumberFormat="1" applyFont="1" applyFill="1" applyBorder="1" applyAlignment="1">
      <alignment horizontal="center" vertical="center"/>
    </xf>
    <xf numFmtId="0" fontId="10" fillId="9" borderId="1" xfId="62" applyFont="1" applyFill="1" applyBorder="1" applyAlignment="1">
      <alignment horizontal="center" vertical="center"/>
    </xf>
    <xf numFmtId="0" fontId="10" fillId="9" borderId="1" xfId="62" applyFont="1" applyFill="1" applyBorder="1" applyAlignment="1">
      <alignment horizontal="left"/>
    </xf>
    <xf numFmtId="0" fontId="9" fillId="9" borderId="1" xfId="62" applyFont="1" applyFill="1" applyBorder="1" applyAlignment="1">
      <alignment horizontal="center"/>
    </xf>
    <xf numFmtId="3" fontId="10" fillId="9" borderId="1" xfId="4" applyNumberFormat="1" applyFont="1" applyFill="1" applyBorder="1" applyAlignment="1">
      <alignment horizontal="center" vertical="center"/>
    </xf>
    <xf numFmtId="3" fontId="9" fillId="9" borderId="1" xfId="4" applyNumberFormat="1" applyFont="1" applyFill="1" applyBorder="1" applyAlignment="1">
      <alignment horizontal="center" vertical="center"/>
    </xf>
    <xf numFmtId="0" fontId="9" fillId="7" borderId="1" xfId="62" applyFont="1" applyFill="1" applyBorder="1" applyAlignment="1">
      <alignment horizontal="center" vertical="center"/>
    </xf>
    <xf numFmtId="0" fontId="11" fillId="0" borderId="1" xfId="62" applyFont="1" applyBorder="1">
      <alignment vertical="center"/>
    </xf>
    <xf numFmtId="0" fontId="9" fillId="7" borderId="1" xfId="62" applyFont="1" applyFill="1" applyBorder="1" applyAlignment="1">
      <alignment horizontal="center"/>
    </xf>
    <xf numFmtId="177" fontId="9" fillId="0" borderId="1" xfId="4" applyFont="1" applyFill="1" applyBorder="1" applyAlignment="1">
      <alignment horizontal="center" vertical="center"/>
    </xf>
    <xf numFmtId="177" fontId="9" fillId="3" borderId="1" xfId="4" applyFont="1" applyFill="1" applyBorder="1" applyAlignment="1">
      <alignment horizontal="center" vertical="center"/>
    </xf>
    <xf numFmtId="177" fontId="5" fillId="0" borderId="1" xfId="4" applyFont="1" applyBorder="1"/>
    <xf numFmtId="41" fontId="11" fillId="7" borderId="1" xfId="62" applyNumberFormat="1" applyFont="1" applyFill="1" applyBorder="1" applyAlignment="1">
      <alignment horizontal="center" vertical="center"/>
    </xf>
    <xf numFmtId="177" fontId="11" fillId="7" borderId="1" xfId="4" applyFont="1" applyFill="1" applyBorder="1" applyAlignment="1" applyProtection="1">
      <alignment horizontal="center" vertical="center"/>
    </xf>
    <xf numFmtId="0" fontId="10" fillId="6" borderId="4" xfId="62" applyFont="1" applyFill="1" applyBorder="1" applyAlignment="1">
      <alignment horizontal="left" vertical="center"/>
    </xf>
    <xf numFmtId="0" fontId="10" fillId="6" borderId="4" xfId="62" applyFont="1" applyFill="1" applyBorder="1" applyAlignment="1">
      <alignment horizontal="center" vertical="center"/>
    </xf>
    <xf numFmtId="0" fontId="10" fillId="6" borderId="4" xfId="62" applyFont="1" applyFill="1" applyBorder="1" applyAlignment="1">
      <alignment horizontal="center"/>
    </xf>
    <xf numFmtId="3" fontId="12" fillId="6" borderId="4" xfId="4" applyNumberFormat="1" applyFont="1" applyFill="1" applyBorder="1" applyAlignment="1">
      <alignment horizontal="center" vertical="center"/>
    </xf>
    <xf numFmtId="3" fontId="12" fillId="6" borderId="1" xfId="4" applyNumberFormat="1" applyFont="1" applyFill="1" applyBorder="1" applyAlignment="1">
      <alignment horizontal="center" vertical="center"/>
    </xf>
    <xf numFmtId="177" fontId="9" fillId="6" borderId="1" xfId="4" applyFont="1" applyFill="1" applyBorder="1" applyAlignment="1" applyProtection="1">
      <alignment horizontal="center" vertical="center"/>
    </xf>
    <xf numFmtId="3" fontId="10" fillId="6" borderId="1" xfId="4" applyNumberFormat="1" applyFont="1" applyFill="1" applyBorder="1" applyAlignment="1">
      <alignment horizontal="center" vertical="center"/>
    </xf>
    <xf numFmtId="0" fontId="10" fillId="7" borderId="2" xfId="62" applyFont="1" applyFill="1" applyBorder="1" applyAlignment="1">
      <alignment horizontal="center" vertical="center"/>
    </xf>
    <xf numFmtId="0" fontId="10" fillId="7" borderId="5" xfId="62" applyFont="1" applyFill="1" applyBorder="1" applyAlignment="1">
      <alignment horizontal="center" vertical="center"/>
    </xf>
    <xf numFmtId="0" fontId="9" fillId="7" borderId="6" xfId="62" applyFont="1" applyFill="1" applyBorder="1" applyAlignment="1">
      <alignment horizontal="center"/>
    </xf>
    <xf numFmtId="3" fontId="12" fillId="0" borderId="2" xfId="4" applyNumberFormat="1" applyFont="1" applyFill="1" applyBorder="1" applyAlignment="1">
      <alignment horizontal="center" vertical="center"/>
    </xf>
    <xf numFmtId="3" fontId="12" fillId="0" borderId="1" xfId="4" applyNumberFormat="1" applyFont="1" applyFill="1" applyBorder="1" applyAlignment="1">
      <alignment horizontal="center" vertical="center"/>
    </xf>
    <xf numFmtId="177" fontId="9" fillId="7" borderId="1" xfId="4" applyFont="1" applyFill="1" applyBorder="1" applyAlignment="1" applyProtection="1">
      <alignment horizontal="center" vertical="center"/>
    </xf>
    <xf numFmtId="3" fontId="10" fillId="7" borderId="1" xfId="4" applyNumberFormat="1" applyFont="1" applyFill="1" applyBorder="1" applyAlignment="1">
      <alignment horizontal="center" vertical="center"/>
    </xf>
    <xf numFmtId="0" fontId="10" fillId="7" borderId="1" xfId="62" applyFont="1" applyFill="1" applyBorder="1" applyAlignment="1">
      <alignment horizontal="left" vertical="center" wrapText="1"/>
    </xf>
    <xf numFmtId="43" fontId="10" fillId="7" borderId="8" xfId="53" applyFont="1" applyFill="1" applyBorder="1" applyAlignment="1">
      <alignment horizontal="center" vertical="center"/>
    </xf>
    <xf numFmtId="43" fontId="10" fillId="7" borderId="9" xfId="53" applyFont="1" applyFill="1" applyBorder="1" applyAlignment="1">
      <alignment horizontal="center" vertical="center"/>
    </xf>
    <xf numFmtId="0" fontId="10" fillId="9" borderId="8" xfId="62" applyFont="1" applyFill="1" applyBorder="1" applyAlignment="1">
      <alignment horizontal="left"/>
    </xf>
    <xf numFmtId="0" fontId="9" fillId="9" borderId="9" xfId="62" applyFont="1" applyFill="1" applyBorder="1" applyAlignment="1">
      <alignment horizontal="center"/>
    </xf>
    <xf numFmtId="3" fontId="12" fillId="9" borderId="1" xfId="4" applyNumberFormat="1" applyFont="1" applyFill="1" applyBorder="1" applyAlignment="1">
      <alignment horizontal="center" vertical="center"/>
    </xf>
    <xf numFmtId="3" fontId="9" fillId="9" borderId="9" xfId="4" applyNumberFormat="1" applyFont="1" applyFill="1" applyBorder="1" applyAlignment="1">
      <alignment horizontal="center" vertical="center"/>
    </xf>
    <xf numFmtId="0" fontId="9" fillId="0" borderId="1" xfId="62" applyFont="1" applyBorder="1" applyAlignment="1"/>
    <xf numFmtId="3" fontId="9" fillId="7" borderId="1" xfId="4" applyNumberFormat="1" applyFont="1" applyFill="1" applyBorder="1" applyAlignment="1">
      <alignment horizontal="center" vertical="center"/>
    </xf>
    <xf numFmtId="177" fontId="9" fillId="0" borderId="1" xfId="4" applyFont="1" applyFill="1" applyBorder="1" applyAlignment="1" applyProtection="1">
      <alignment horizontal="center" vertical="center"/>
    </xf>
    <xf numFmtId="177" fontId="9" fillId="2" borderId="1" xfId="4" applyFont="1" applyFill="1" applyBorder="1" applyAlignment="1">
      <alignment horizontal="center" vertic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11" fillId="7" borderId="10" xfId="0" applyFont="1" applyFill="1" applyBorder="1" applyAlignment="1">
      <alignment vertical="top" wrapText="1"/>
    </xf>
    <xf numFmtId="177" fontId="0" fillId="0" borderId="0" xfId="4" applyFont="1"/>
    <xf numFmtId="0" fontId="5" fillId="7" borderId="1" xfId="62" applyFont="1" applyFill="1" applyBorder="1" applyAlignment="1">
      <alignment horizontal="center" vertical="center"/>
    </xf>
    <xf numFmtId="0" fontId="9" fillId="7" borderId="1" xfId="62" applyFont="1" applyFill="1" applyBorder="1" applyAlignment="1">
      <alignment horizontal="left" vertical="center" wrapText="1"/>
    </xf>
    <xf numFmtId="0" fontId="5" fillId="11" borderId="10" xfId="0" applyFont="1" applyFill="1" applyBorder="1" applyAlignment="1">
      <alignment horizontal="center"/>
    </xf>
    <xf numFmtId="0" fontId="9" fillId="7" borderId="1" xfId="62" applyFont="1" applyFill="1" applyBorder="1" applyAlignment="1"/>
    <xf numFmtId="0" fontId="9" fillId="0" borderId="1" xfId="58" applyFont="1" applyBorder="1" applyAlignment="1">
      <alignment wrapText="1"/>
    </xf>
    <xf numFmtId="41" fontId="11" fillId="0" borderId="1" xfId="62" applyNumberFormat="1" applyFont="1" applyBorder="1" applyAlignment="1">
      <alignment horizontal="center" vertical="center"/>
    </xf>
    <xf numFmtId="0" fontId="9" fillId="10" borderId="0" xfId="62" applyFont="1" applyFill="1" applyAlignment="1">
      <alignment horizontal="center" vertical="center"/>
    </xf>
    <xf numFmtId="43" fontId="10" fillId="12" borderId="11" xfId="62" applyNumberFormat="1" applyFont="1" applyFill="1" applyBorder="1" applyAlignment="1">
      <alignment vertical="center" wrapText="1"/>
    </xf>
    <xf numFmtId="43" fontId="10" fillId="12" borderId="1" xfId="62" applyNumberFormat="1" applyFont="1" applyFill="1" applyBorder="1" applyAlignment="1">
      <alignment vertical="center" wrapText="1"/>
    </xf>
    <xf numFmtId="43" fontId="10" fillId="7" borderId="11" xfId="62" applyNumberFormat="1" applyFont="1" applyFill="1" applyBorder="1" applyAlignment="1">
      <alignment horizontal="left" vertical="center" wrapText="1"/>
    </xf>
    <xf numFmtId="0" fontId="7" fillId="3" borderId="1" xfId="62" applyFont="1" applyFill="1" applyBorder="1" applyAlignment="1">
      <alignment horizontal="center" vertical="center"/>
    </xf>
    <xf numFmtId="43" fontId="10" fillId="7" borderId="1" xfId="62" applyNumberFormat="1" applyFont="1" applyFill="1" applyBorder="1" applyAlignment="1">
      <alignment horizontal="center" vertical="center"/>
    </xf>
    <xf numFmtId="0" fontId="10" fillId="10" borderId="0" xfId="62" applyFont="1" applyFill="1" applyAlignment="1">
      <alignment horizontal="center" vertical="center" wrapText="1"/>
    </xf>
    <xf numFmtId="0" fontId="13" fillId="7" borderId="1" xfId="62" applyFont="1" applyFill="1" applyBorder="1" applyAlignment="1">
      <alignment horizontal="center" vertical="center" wrapText="1"/>
    </xf>
    <xf numFmtId="0" fontId="7" fillId="0" borderId="1" xfId="62" applyFont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/>
    </xf>
    <xf numFmtId="0" fontId="10" fillId="7" borderId="11" xfId="62" applyFont="1" applyFill="1" applyBorder="1" applyAlignment="1">
      <alignment horizontal="left" vertical="center"/>
    </xf>
    <xf numFmtId="3" fontId="14" fillId="7" borderId="1" xfId="4" applyNumberFormat="1" applyFont="1" applyFill="1" applyBorder="1" applyAlignment="1">
      <alignment horizontal="center" vertical="center"/>
    </xf>
    <xf numFmtId="43" fontId="10" fillId="7" borderId="2" xfId="53" applyFont="1" applyFill="1" applyBorder="1" applyAlignment="1">
      <alignment horizontal="center" vertical="center" wrapText="1"/>
    </xf>
    <xf numFmtId="0" fontId="9" fillId="9" borderId="1" xfId="62" applyFont="1" applyFill="1" applyBorder="1" applyAlignment="1">
      <alignment horizontal="center" vertical="center"/>
    </xf>
    <xf numFmtId="177" fontId="9" fillId="0" borderId="1" xfId="62" applyNumberFormat="1" applyFont="1" applyBorder="1" applyAlignment="1">
      <alignment horizontal="center"/>
    </xf>
    <xf numFmtId="0" fontId="11" fillId="0" borderId="1" xfId="62" applyFont="1" applyBorder="1" applyAlignment="1">
      <alignment horizontal="center"/>
    </xf>
    <xf numFmtId="0" fontId="9" fillId="7" borderId="1" xfId="62" applyFont="1" applyFill="1" applyBorder="1" applyAlignment="1">
      <alignment horizontal="left" vertical="center"/>
    </xf>
    <xf numFmtId="3" fontId="10" fillId="6" borderId="10" xfId="4" applyNumberFormat="1" applyFont="1" applyFill="1" applyBorder="1" applyAlignment="1">
      <alignment horizontal="center" vertical="center"/>
    </xf>
    <xf numFmtId="3" fontId="10" fillId="6" borderId="4" xfId="4" applyNumberFormat="1" applyFont="1" applyFill="1" applyBorder="1" applyAlignment="1">
      <alignment horizontal="center" vertical="center"/>
    </xf>
    <xf numFmtId="3" fontId="10" fillId="7" borderId="6" xfId="4" applyNumberFormat="1" applyFont="1" applyFill="1" applyBorder="1" applyAlignment="1">
      <alignment horizontal="center" vertical="center"/>
    </xf>
    <xf numFmtId="0" fontId="10" fillId="7" borderId="6" xfId="62" applyFont="1" applyFill="1" applyBorder="1" applyAlignment="1">
      <alignment horizontal="center" vertical="center"/>
    </xf>
    <xf numFmtId="43" fontId="10" fillId="7" borderId="11" xfId="53" applyFont="1" applyFill="1" applyBorder="1" applyAlignment="1">
      <alignment horizontal="center" vertical="center"/>
    </xf>
    <xf numFmtId="0" fontId="9" fillId="9" borderId="9" xfId="62" applyFont="1" applyFill="1" applyBorder="1" applyAlignment="1">
      <alignment horizontal="center" vertical="center"/>
    </xf>
    <xf numFmtId="177" fontId="9" fillId="7" borderId="1" xfId="4" applyFont="1" applyFill="1" applyBorder="1" applyAlignment="1">
      <alignment horizontal="center" vertical="center"/>
    </xf>
    <xf numFmtId="3" fontId="9" fillId="0" borderId="1" xfId="4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left"/>
    </xf>
    <xf numFmtId="3" fontId="5" fillId="11" borderId="10" xfId="0" applyNumberFormat="1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left" vertical="top" wrapText="1"/>
    </xf>
    <xf numFmtId="3" fontId="5" fillId="0" borderId="1" xfId="4" applyNumberFormat="1" applyFont="1" applyFill="1" applyBorder="1" applyAlignment="1">
      <alignment horizontal="center" vertical="center"/>
    </xf>
    <xf numFmtId="3" fontId="15" fillId="11" borderId="10" xfId="0" applyNumberFormat="1" applyFont="1" applyFill="1" applyBorder="1" applyAlignment="1">
      <alignment horizontal="center"/>
    </xf>
    <xf numFmtId="0" fontId="9" fillId="0" borderId="1" xfId="58" applyFont="1" applyBorder="1" applyAlignment="1">
      <alignment horizontal="center" wrapText="1"/>
    </xf>
    <xf numFmtId="0" fontId="9" fillId="0" borderId="1" xfId="62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3" fontId="10" fillId="7" borderId="0" xfId="62" applyNumberFormat="1" applyFont="1" applyFill="1" applyAlignment="1">
      <alignment vertical="center" wrapText="1"/>
    </xf>
    <xf numFmtId="0" fontId="9" fillId="7" borderId="0" xfId="62" applyFont="1" applyFill="1" applyAlignment="1"/>
    <xf numFmtId="43" fontId="10" fillId="7" borderId="0" xfId="62" applyNumberFormat="1" applyFont="1" applyFill="1" applyAlignment="1">
      <alignment horizontal="center" vertical="center"/>
    </xf>
    <xf numFmtId="0" fontId="13" fillId="7" borderId="0" xfId="62" applyFont="1" applyFill="1" applyAlignment="1">
      <alignment horizontal="center" vertical="center" wrapText="1"/>
    </xf>
    <xf numFmtId="0" fontId="9" fillId="7" borderId="0" xfId="62" applyFont="1" applyFill="1" applyAlignment="1">
      <alignment wrapText="1"/>
    </xf>
    <xf numFmtId="3" fontId="7" fillId="7" borderId="0" xfId="4" applyNumberFormat="1" applyFont="1" applyFill="1" applyBorder="1" applyAlignment="1">
      <alignment horizontal="center" vertical="center"/>
    </xf>
    <xf numFmtId="0" fontId="9" fillId="7" borderId="0" xfId="62" applyFont="1" applyFill="1" applyAlignment="1">
      <alignment horizontal="center" vertical="center"/>
    </xf>
    <xf numFmtId="3" fontId="14" fillId="7" borderId="0" xfId="4" applyNumberFormat="1" applyFont="1" applyFill="1" applyBorder="1" applyAlignment="1">
      <alignment horizontal="center" vertical="center"/>
    </xf>
    <xf numFmtId="3" fontId="10" fillId="7" borderId="0" xfId="4" applyNumberFormat="1" applyFont="1" applyFill="1" applyBorder="1" applyAlignment="1">
      <alignment horizontal="center" vertical="center" wrapText="1"/>
    </xf>
    <xf numFmtId="3" fontId="9" fillId="7" borderId="0" xfId="4" applyNumberFormat="1" applyFont="1" applyFill="1" applyBorder="1" applyAlignment="1">
      <alignment horizontal="center" vertical="center"/>
    </xf>
    <xf numFmtId="3" fontId="10" fillId="7" borderId="0" xfId="4" applyNumberFormat="1" applyFont="1" applyFill="1" applyBorder="1" applyAlignment="1">
      <alignment horizontal="center" vertical="center"/>
    </xf>
    <xf numFmtId="0" fontId="10" fillId="7" borderId="0" xfId="62" applyFont="1" applyFill="1" applyAlignment="1"/>
    <xf numFmtId="43" fontId="10" fillId="7" borderId="0" xfId="53" applyFont="1" applyFill="1" applyBorder="1" applyAlignment="1">
      <alignment horizontal="center" vertical="center"/>
    </xf>
    <xf numFmtId="0" fontId="5" fillId="7" borderId="0" xfId="62" applyFont="1" applyFill="1" applyAlignment="1"/>
    <xf numFmtId="0" fontId="16" fillId="11" borderId="1" xfId="0" applyFont="1" applyFill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9" fillId="0" borderId="1" xfId="62" applyFont="1" applyBorder="1" applyAlignment="1">
      <alignment horizontal="center"/>
    </xf>
    <xf numFmtId="0" fontId="18" fillId="0" borderId="1" xfId="57" applyFont="1" applyBorder="1" applyAlignment="1">
      <alignment vertical="center"/>
    </xf>
    <xf numFmtId="0" fontId="9" fillId="7" borderId="1" xfId="62" applyFont="1" applyFill="1" applyBorder="1">
      <alignment vertical="center"/>
    </xf>
    <xf numFmtId="0" fontId="10" fillId="6" borderId="1" xfId="62" applyFont="1" applyFill="1" applyBorder="1" applyAlignment="1">
      <alignment horizontal="left"/>
    </xf>
    <xf numFmtId="0" fontId="10" fillId="6" borderId="1" xfId="62" applyFont="1" applyFill="1" applyBorder="1" applyAlignment="1">
      <alignment horizontal="center"/>
    </xf>
    <xf numFmtId="0" fontId="9" fillId="7" borderId="8" xfId="62" applyFont="1" applyFill="1" applyBorder="1" applyAlignment="1">
      <alignment horizontal="center" vertical="center"/>
    </xf>
    <xf numFmtId="0" fontId="9" fillId="7" borderId="9" xfId="62" applyFont="1" applyFill="1" applyBorder="1" applyAlignment="1"/>
    <xf numFmtId="0" fontId="9" fillId="7" borderId="9" xfId="62" applyFont="1" applyFill="1" applyBorder="1" applyAlignment="1">
      <alignment horizontal="center"/>
    </xf>
    <xf numFmtId="3" fontId="9" fillId="7" borderId="9" xfId="4" applyNumberFormat="1" applyFont="1" applyFill="1" applyBorder="1" applyAlignment="1">
      <alignment horizontal="center" vertical="center"/>
    </xf>
    <xf numFmtId="0" fontId="10" fillId="9" borderId="1" xfId="62" applyFont="1" applyFill="1" applyBorder="1" applyAlignment="1"/>
    <xf numFmtId="0" fontId="9" fillId="7" borderId="1" xfId="62" applyFont="1" applyFill="1" applyBorder="1" applyAlignment="1">
      <alignment wrapText="1"/>
    </xf>
    <xf numFmtId="0" fontId="9" fillId="0" borderId="1" xfId="62" applyFont="1" applyBorder="1" applyAlignment="1">
      <alignment vertical="center" wrapText="1"/>
    </xf>
    <xf numFmtId="0" fontId="9" fillId="0" borderId="1" xfId="62" applyFont="1" applyBorder="1" applyAlignment="1">
      <alignment wrapText="1"/>
    </xf>
    <xf numFmtId="0" fontId="9" fillId="0" borderId="1" xfId="4" applyNumberFormat="1" applyFont="1" applyFill="1" applyBorder="1" applyAlignment="1">
      <alignment horizontal="center" vertical="center"/>
    </xf>
    <xf numFmtId="3" fontId="16" fillId="11" borderId="10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58" applyFont="1" applyBorder="1" applyAlignment="1">
      <alignment vertical="center"/>
    </xf>
    <xf numFmtId="3" fontId="9" fillId="7" borderId="1" xfId="49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vertical="top"/>
    </xf>
    <xf numFmtId="3" fontId="11" fillId="7" borderId="1" xfId="49" applyNumberFormat="1" applyFont="1" applyFill="1" applyBorder="1" applyAlignment="1">
      <alignment horizontal="center" vertical="center"/>
    </xf>
    <xf numFmtId="0" fontId="10" fillId="6" borderId="1" xfId="62" applyFont="1" applyFill="1" applyBorder="1" applyAlignment="1">
      <alignment horizontal="center" vertical="center"/>
    </xf>
    <xf numFmtId="3" fontId="9" fillId="0" borderId="9" xfId="4" applyNumberFormat="1" applyFont="1" applyFill="1" applyBorder="1" applyAlignment="1">
      <alignment horizontal="center" vertical="center"/>
    </xf>
    <xf numFmtId="0" fontId="9" fillId="7" borderId="9" xfId="62" applyFont="1" applyFill="1" applyBorder="1" applyAlignment="1">
      <alignment horizontal="center" vertical="center"/>
    </xf>
    <xf numFmtId="3" fontId="9" fillId="0" borderId="11" xfId="4" applyNumberFormat="1" applyFont="1" applyFill="1" applyBorder="1" applyAlignment="1">
      <alignment horizontal="center" vertical="center"/>
    </xf>
    <xf numFmtId="0" fontId="9" fillId="0" borderId="1" xfId="62" applyFont="1" applyBorder="1" applyAlignment="1">
      <alignment horizontal="left" vertical="center"/>
    </xf>
    <xf numFmtId="3" fontId="9" fillId="7" borderId="0" xfId="49" applyNumberFormat="1" applyFont="1" applyFill="1" applyBorder="1" applyAlignment="1">
      <alignment horizontal="center" vertical="center"/>
    </xf>
    <xf numFmtId="3" fontId="11" fillId="7" borderId="0" xfId="49" applyNumberFormat="1" applyFont="1" applyFill="1" applyBorder="1" applyAlignment="1">
      <alignment horizontal="center" vertical="center"/>
    </xf>
    <xf numFmtId="0" fontId="11" fillId="7" borderId="0" xfId="62" applyFont="1" applyFill="1" applyAlignment="1"/>
    <xf numFmtId="3" fontId="9" fillId="7" borderId="3" xfId="4" applyNumberFormat="1" applyFont="1" applyFill="1" applyBorder="1" applyAlignment="1">
      <alignment horizontal="center" vertical="center"/>
    </xf>
    <xf numFmtId="0" fontId="9" fillId="7" borderId="12" xfId="62" applyFont="1" applyFill="1" applyBorder="1" applyAlignment="1">
      <alignment horizontal="left" vertical="center" wrapText="1"/>
    </xf>
    <xf numFmtId="3" fontId="9" fillId="7" borderId="0" xfId="4" applyNumberFormat="1" applyFont="1" applyFill="1" applyBorder="1" applyAlignment="1">
      <alignment horizontal="left" vertical="center"/>
    </xf>
    <xf numFmtId="0" fontId="9" fillId="0" borderId="1" xfId="59" applyFont="1" applyBorder="1" applyAlignment="1">
      <alignment horizontal="center"/>
    </xf>
    <xf numFmtId="0" fontId="9" fillId="0" borderId="1" xfId="0" applyFont="1" applyBorder="1" applyAlignment="1">
      <alignment vertical="top"/>
    </xf>
    <xf numFmtId="49" fontId="5" fillId="0" borderId="1" xfId="0" applyNumberFormat="1" applyFont="1" applyBorder="1"/>
    <xf numFmtId="0" fontId="9" fillId="0" borderId="1" xfId="61" applyFont="1" applyBorder="1" applyAlignment="1">
      <alignment wrapText="1"/>
    </xf>
    <xf numFmtId="0" fontId="9" fillId="0" borderId="1" xfId="64" applyFont="1" applyBorder="1" applyAlignment="1">
      <alignment horizontal="center"/>
    </xf>
    <xf numFmtId="177" fontId="9" fillId="2" borderId="1" xfId="4" applyFont="1" applyFill="1" applyBorder="1" applyAlignment="1" applyProtection="1">
      <alignment horizontal="center" vertical="center"/>
    </xf>
    <xf numFmtId="0" fontId="15" fillId="2" borderId="1" xfId="0" applyFont="1" applyFill="1" applyBorder="1"/>
    <xf numFmtId="0" fontId="10" fillId="7" borderId="8" xfId="62" applyFont="1" applyFill="1" applyBorder="1" applyAlignment="1">
      <alignment horizontal="center"/>
    </xf>
    <xf numFmtId="0" fontId="10" fillId="7" borderId="9" xfId="62" applyFont="1" applyFill="1" applyBorder="1" applyAlignment="1">
      <alignment horizontal="center"/>
    </xf>
    <xf numFmtId="3" fontId="10" fillId="7" borderId="9" xfId="4" applyNumberFormat="1" applyFont="1" applyFill="1" applyBorder="1" applyAlignment="1">
      <alignment horizontal="center" vertical="center"/>
    </xf>
    <xf numFmtId="177" fontId="9" fillId="0" borderId="1" xfId="62" applyNumberFormat="1" applyFont="1" applyBorder="1" applyAlignment="1"/>
    <xf numFmtId="177" fontId="9" fillId="3" borderId="1" xfId="62" applyNumberFormat="1" applyFont="1" applyFill="1" applyBorder="1" applyAlignment="1">
      <alignment horizontal="center"/>
    </xf>
    <xf numFmtId="0" fontId="9" fillId="0" borderId="1" xfId="58" applyFont="1" applyBorder="1" applyAlignment="1">
      <alignment horizontal="center" vertical="center"/>
    </xf>
    <xf numFmtId="0" fontId="9" fillId="0" borderId="1" xfId="58" applyFont="1" applyBorder="1" applyAlignment="1">
      <alignment horizontal="left" vertical="center" wrapText="1"/>
    </xf>
    <xf numFmtId="41" fontId="11" fillId="0" borderId="1" xfId="51" applyFont="1" applyFill="1" applyBorder="1" applyAlignment="1">
      <alignment horizontal="center" vertical="center"/>
    </xf>
    <xf numFmtId="177" fontId="5" fillId="0" borderId="1" xfId="4" applyFont="1" applyFill="1" applyBorder="1"/>
    <xf numFmtId="0" fontId="10" fillId="7" borderId="4" xfId="62" applyFont="1" applyFill="1" applyBorder="1" applyAlignment="1">
      <alignment horizontal="center" vertical="center"/>
    </xf>
    <xf numFmtId="0" fontId="10" fillId="7" borderId="13" xfId="62" applyFont="1" applyFill="1" applyBorder="1" applyAlignment="1">
      <alignment horizontal="center"/>
    </xf>
    <xf numFmtId="0" fontId="10" fillId="7" borderId="0" xfId="62" applyFont="1" applyFill="1" applyAlignment="1">
      <alignment horizontal="center"/>
    </xf>
    <xf numFmtId="3" fontId="10" fillId="7" borderId="14" xfId="4" applyNumberFormat="1" applyFont="1" applyFill="1" applyBorder="1" applyAlignment="1">
      <alignment horizontal="center" vertical="center"/>
    </xf>
    <xf numFmtId="0" fontId="9" fillId="7" borderId="1" xfId="59" applyFont="1" applyFill="1" applyBorder="1" applyAlignment="1">
      <alignment wrapText="1"/>
    </xf>
    <xf numFmtId="0" fontId="9" fillId="7" borderId="1" xfId="59" applyFont="1" applyFill="1" applyBorder="1" applyAlignment="1">
      <alignment horizontal="center"/>
    </xf>
    <xf numFmtId="0" fontId="9" fillId="0" borderId="1" xfId="59" applyFont="1" applyBorder="1" applyAlignment="1">
      <alignment wrapText="1"/>
    </xf>
    <xf numFmtId="0" fontId="10" fillId="7" borderId="9" xfId="62" applyFont="1" applyFill="1" applyBorder="1" applyAlignment="1">
      <alignment horizontal="center" vertical="center"/>
    </xf>
    <xf numFmtId="3" fontId="10" fillId="7" borderId="11" xfId="4" applyNumberFormat="1" applyFont="1" applyFill="1" applyBorder="1" applyAlignment="1">
      <alignment horizontal="center" vertical="center"/>
    </xf>
    <xf numFmtId="177" fontId="9" fillId="0" borderId="1" xfId="62" applyNumberFormat="1" applyFont="1" applyBorder="1" applyAlignment="1">
      <alignment horizontal="center" vertical="center"/>
    </xf>
    <xf numFmtId="0" fontId="9" fillId="2" borderId="1" xfId="62" applyFont="1" applyFill="1" applyBorder="1" applyAlignment="1">
      <alignment horizontal="center" vertical="center"/>
    </xf>
    <xf numFmtId="0" fontId="10" fillId="7" borderId="14" xfId="62" applyFont="1" applyFill="1" applyBorder="1" applyAlignment="1">
      <alignment horizontal="center" vertical="center"/>
    </xf>
    <xf numFmtId="3" fontId="10" fillId="7" borderId="10" xfId="4" applyNumberFormat="1" applyFont="1" applyFill="1" applyBorder="1" applyAlignment="1">
      <alignment horizontal="center" vertical="center"/>
    </xf>
    <xf numFmtId="0" fontId="9" fillId="9" borderId="1" xfId="62" applyFont="1" applyFill="1" applyBorder="1" applyAlignment="1"/>
    <xf numFmtId="3" fontId="9" fillId="0" borderId="0" xfId="4" applyNumberFormat="1" applyFont="1" applyFill="1" applyBorder="1" applyAlignment="1">
      <alignment horizontal="center" vertical="center"/>
    </xf>
    <xf numFmtId="0" fontId="9" fillId="0" borderId="0" xfId="62" applyFont="1" applyAlignment="1"/>
    <xf numFmtId="0" fontId="9" fillId="6" borderId="1" xfId="62" applyFont="1" applyFill="1" applyBorder="1" applyAlignment="1"/>
    <xf numFmtId="3" fontId="9" fillId="6" borderId="1" xfId="4" applyNumberFormat="1" applyFont="1" applyFill="1" applyBorder="1" applyAlignment="1">
      <alignment horizontal="center" vertical="center"/>
    </xf>
    <xf numFmtId="0" fontId="10" fillId="7" borderId="8" xfId="62" applyFont="1" applyFill="1" applyBorder="1" applyAlignment="1">
      <alignment horizontal="center" vertical="center"/>
    </xf>
    <xf numFmtId="3" fontId="9" fillId="9" borderId="1" xfId="4" applyNumberFormat="1" applyFont="1" applyFill="1" applyBorder="1" applyAlignment="1">
      <alignment horizontal="center"/>
    </xf>
    <xf numFmtId="3" fontId="9" fillId="7" borderId="1" xfId="4" applyNumberFormat="1" applyFont="1" applyFill="1" applyBorder="1" applyAlignment="1">
      <alignment horizontal="center"/>
    </xf>
    <xf numFmtId="0" fontId="10" fillId="6" borderId="1" xfId="62" applyFont="1" applyFill="1" applyBorder="1" applyAlignment="1"/>
    <xf numFmtId="3" fontId="10" fillId="6" borderId="1" xfId="4" applyNumberFormat="1" applyFont="1" applyFill="1" applyBorder="1" applyAlignment="1">
      <alignment horizontal="center"/>
    </xf>
    <xf numFmtId="0" fontId="9" fillId="7" borderId="8" xfId="62" applyFont="1" applyFill="1" applyBorder="1" applyAlignment="1"/>
    <xf numFmtId="177" fontId="9" fillId="7" borderId="9" xfId="4" applyFont="1" applyFill="1" applyBorder="1" applyAlignment="1">
      <alignment horizontal="center" vertical="center"/>
    </xf>
    <xf numFmtId="0" fontId="9" fillId="0" borderId="1" xfId="58" applyFont="1" applyBorder="1" applyAlignment="1">
      <alignment horizontal="center"/>
    </xf>
    <xf numFmtId="177" fontId="10" fillId="6" borderId="1" xfId="4" applyFont="1" applyFill="1" applyBorder="1" applyAlignment="1">
      <alignment horizontal="center" vertical="center"/>
    </xf>
    <xf numFmtId="0" fontId="9" fillId="7" borderId="1" xfId="62" applyFont="1" applyFill="1" applyBorder="1" applyAlignment="1">
      <alignment horizontal="left"/>
    </xf>
    <xf numFmtId="41" fontId="11" fillId="6" borderId="1" xfId="62" applyNumberFormat="1" applyFont="1" applyFill="1" applyBorder="1" applyAlignment="1">
      <alignment horizontal="center" vertical="center"/>
    </xf>
    <xf numFmtId="0" fontId="10" fillId="0" borderId="1" xfId="62" applyFont="1" applyBorder="1" applyAlignment="1">
      <alignment horizontal="center" vertical="center"/>
    </xf>
    <xf numFmtId="0" fontId="9" fillId="0" borderId="8" xfId="62" applyFont="1" applyBorder="1" applyAlignment="1">
      <alignment horizontal="left" vertical="center" wrapText="1"/>
    </xf>
    <xf numFmtId="0" fontId="9" fillId="0" borderId="9" xfId="62" applyFont="1" applyBorder="1" applyAlignment="1">
      <alignment horizontal="center" vertical="center"/>
    </xf>
    <xf numFmtId="3" fontId="9" fillId="7" borderId="9" xfId="4" applyNumberFormat="1" applyFont="1" applyFill="1" applyBorder="1" applyAlignment="1">
      <alignment horizontal="center" vertical="center" wrapText="1"/>
    </xf>
    <xf numFmtId="177" fontId="9" fillId="7" borderId="9" xfId="4" applyFont="1" applyFill="1" applyBorder="1" applyAlignment="1">
      <alignment horizontal="center" vertical="center" wrapText="1"/>
    </xf>
    <xf numFmtId="0" fontId="10" fillId="9" borderId="1" xfId="63" applyFont="1" applyFill="1" applyBorder="1" applyAlignment="1">
      <alignment horizontal="left" vertical="top" wrapText="1"/>
    </xf>
    <xf numFmtId="0" fontId="9" fillId="0" borderId="1" xfId="63" applyFont="1" applyBorder="1" applyAlignment="1">
      <alignment horizontal="left"/>
    </xf>
    <xf numFmtId="3" fontId="9" fillId="0" borderId="1" xfId="4" applyNumberFormat="1" applyFont="1" applyFill="1" applyBorder="1" applyAlignment="1">
      <alignment horizontal="center" vertical="center" wrapText="1"/>
    </xf>
    <xf numFmtId="3" fontId="12" fillId="6" borderId="1" xfId="4" applyNumberFormat="1" applyFont="1" applyFill="1" applyBorder="1" applyAlignment="1">
      <alignment horizontal="center" vertical="center" wrapText="1"/>
    </xf>
    <xf numFmtId="3" fontId="10" fillId="6" borderId="1" xfId="4" applyNumberFormat="1" applyFont="1" applyFill="1" applyBorder="1" applyAlignment="1">
      <alignment horizontal="center" vertical="center" wrapText="1"/>
    </xf>
    <xf numFmtId="3" fontId="12" fillId="0" borderId="1" xfId="4" applyNumberFormat="1" applyFont="1" applyFill="1" applyBorder="1" applyAlignment="1">
      <alignment horizontal="center" vertical="center" wrapText="1"/>
    </xf>
    <xf numFmtId="3" fontId="9" fillId="0" borderId="9" xfId="4" applyNumberFormat="1" applyFont="1" applyFill="1" applyBorder="1" applyAlignment="1">
      <alignment horizontal="center" vertical="center" wrapText="1"/>
    </xf>
    <xf numFmtId="0" fontId="10" fillId="9" borderId="8" xfId="62" applyFont="1" applyFill="1" applyBorder="1" applyAlignment="1">
      <alignment horizontal="left" vertical="top" wrapText="1"/>
    </xf>
    <xf numFmtId="3" fontId="12" fillId="9" borderId="1" xfId="4" applyNumberFormat="1" applyFont="1" applyFill="1" applyBorder="1" applyAlignment="1">
      <alignment horizontal="center" vertical="center" wrapText="1"/>
    </xf>
    <xf numFmtId="3" fontId="9" fillId="9" borderId="9" xfId="4" applyNumberFormat="1" applyFont="1" applyFill="1" applyBorder="1" applyAlignment="1">
      <alignment horizontal="center"/>
    </xf>
    <xf numFmtId="0" fontId="10" fillId="9" borderId="1" xfId="62" applyFont="1" applyFill="1" applyBorder="1" applyAlignment="1">
      <alignment horizontal="left" vertical="top" wrapText="1"/>
    </xf>
    <xf numFmtId="3" fontId="10" fillId="9" borderId="1" xfId="4" applyNumberFormat="1" applyFont="1" applyFill="1" applyBorder="1" applyAlignment="1">
      <alignment horizontal="center"/>
    </xf>
    <xf numFmtId="3" fontId="10" fillId="7" borderId="1" xfId="4" applyNumberFormat="1" applyFont="1" applyFill="1" applyBorder="1" applyAlignment="1">
      <alignment horizontal="center"/>
    </xf>
    <xf numFmtId="3" fontId="10" fillId="0" borderId="1" xfId="4" applyNumberFormat="1" applyFont="1" applyFill="1" applyBorder="1" applyAlignment="1">
      <alignment horizontal="center" vertical="center"/>
    </xf>
    <xf numFmtId="0" fontId="19" fillId="7" borderId="1" xfId="62" applyFont="1" applyFill="1" applyBorder="1" applyAlignment="1">
      <alignment horizontal="center" vertical="center"/>
    </xf>
    <xf numFmtId="0" fontId="19" fillId="7" borderId="2" xfId="62" applyFont="1" applyFill="1" applyBorder="1" applyAlignment="1">
      <alignment horizontal="center"/>
    </xf>
    <xf numFmtId="3" fontId="19" fillId="7" borderId="2" xfId="4" applyNumberFormat="1" applyFont="1" applyFill="1" applyBorder="1" applyAlignment="1">
      <alignment horizontal="center" vertical="center" wrapText="1"/>
    </xf>
    <xf numFmtId="0" fontId="10" fillId="9" borderId="1" xfId="62" applyFont="1" applyFill="1" applyBorder="1" applyAlignment="1">
      <alignment horizontal="center"/>
    </xf>
    <xf numFmtId="0" fontId="9" fillId="7" borderId="1" xfId="62" applyFont="1" applyFill="1" applyBorder="1" applyAlignment="1">
      <alignment horizontal="center" vertical="center" wrapText="1"/>
    </xf>
    <xf numFmtId="3" fontId="10" fillId="7" borderId="1" xfId="4" applyNumberFormat="1" applyFont="1" applyFill="1" applyBorder="1" applyAlignment="1">
      <alignment horizontal="center" vertical="center" wrapText="1"/>
    </xf>
    <xf numFmtId="0" fontId="9" fillId="6" borderId="1" xfId="62" applyFont="1" applyFill="1" applyBorder="1" applyAlignment="1">
      <alignment horizontal="center" vertical="center"/>
    </xf>
    <xf numFmtId="3" fontId="9" fillId="7" borderId="11" xfId="4" applyNumberFormat="1" applyFont="1" applyFill="1" applyBorder="1" applyAlignment="1">
      <alignment horizontal="center" vertical="center"/>
    </xf>
    <xf numFmtId="177" fontId="9" fillId="7" borderId="1" xfId="4" applyFont="1" applyFill="1" applyBorder="1" applyAlignment="1">
      <alignment horizontal="center"/>
    </xf>
    <xf numFmtId="177" fontId="10" fillId="6" borderId="1" xfId="4" applyFont="1" applyFill="1" applyBorder="1" applyAlignment="1">
      <alignment horizontal="center"/>
    </xf>
    <xf numFmtId="3" fontId="9" fillId="0" borderId="11" xfId="4" applyNumberFormat="1" applyFont="1" applyFill="1" applyBorder="1" applyAlignment="1">
      <alignment horizontal="center" vertical="center" wrapText="1"/>
    </xf>
    <xf numFmtId="3" fontId="9" fillId="9" borderId="1" xfId="4" applyNumberFormat="1" applyFont="1" applyFill="1" applyBorder="1" applyAlignment="1">
      <alignment horizontal="center" vertical="center" wrapText="1"/>
    </xf>
    <xf numFmtId="177" fontId="9" fillId="13" borderId="1" xfId="4" applyFont="1" applyFill="1" applyBorder="1" applyAlignment="1" applyProtection="1">
      <alignment horizontal="center" vertical="center"/>
    </xf>
    <xf numFmtId="49" fontId="9" fillId="0" borderId="1" xfId="63" applyNumberFormat="1" applyFont="1" applyBorder="1" applyAlignment="1">
      <alignment horizontal="left"/>
    </xf>
    <xf numFmtId="3" fontId="9" fillId="9" borderId="11" xfId="4" applyNumberFormat="1" applyFont="1" applyFill="1" applyBorder="1" applyAlignment="1">
      <alignment horizontal="center"/>
    </xf>
    <xf numFmtId="3" fontId="9" fillId="7" borderId="15" xfId="4" applyNumberFormat="1" applyFont="1" applyFill="1" applyBorder="1" applyAlignment="1">
      <alignment horizontal="center" vertical="center"/>
    </xf>
    <xf numFmtId="0" fontId="19" fillId="7" borderId="2" xfId="62" applyFont="1" applyFill="1" applyBorder="1" applyAlignment="1">
      <alignment horizontal="center" vertical="center"/>
    </xf>
    <xf numFmtId="0" fontId="19" fillId="7" borderId="6" xfId="62" applyFont="1" applyFill="1" applyBorder="1" applyAlignment="1">
      <alignment horizontal="center" vertical="center"/>
    </xf>
    <xf numFmtId="3" fontId="9" fillId="7" borderId="0" xfId="4" applyNumberFormat="1" applyFont="1" applyFill="1" applyBorder="1" applyAlignment="1">
      <alignment horizontal="center"/>
    </xf>
    <xf numFmtId="3" fontId="10" fillId="7" borderId="0" xfId="4" applyNumberFormat="1" applyFont="1" applyFill="1" applyBorder="1" applyAlignment="1">
      <alignment horizontal="center"/>
    </xf>
    <xf numFmtId="3" fontId="9" fillId="7" borderId="0" xfId="4" applyNumberFormat="1" applyFont="1" applyFill="1" applyBorder="1" applyAlignment="1">
      <alignment horizontal="center" vertical="center" wrapText="1"/>
    </xf>
    <xf numFmtId="0" fontId="9" fillId="7" borderId="0" xfId="62" applyFont="1" applyFill="1">
      <alignment vertical="center"/>
    </xf>
    <xf numFmtId="0" fontId="10" fillId="7" borderId="0" xfId="62" applyFont="1" applyFill="1">
      <alignment vertical="center"/>
    </xf>
    <xf numFmtId="0" fontId="9" fillId="7" borderId="0" xfId="62" applyFont="1" applyFill="1" applyAlignment="1">
      <alignment vertical="top"/>
    </xf>
    <xf numFmtId="3" fontId="19" fillId="7" borderId="0" xfId="4" applyNumberFormat="1" applyFont="1" applyFill="1" applyBorder="1" applyAlignment="1">
      <alignment horizontal="center" vertical="center" wrapText="1"/>
    </xf>
    <xf numFmtId="0" fontId="19" fillId="7" borderId="0" xfId="62" applyFont="1" applyFill="1">
      <alignment vertical="center"/>
    </xf>
    <xf numFmtId="0" fontId="9" fillId="7" borderId="0" xfId="62" applyFont="1" applyFill="1" applyAlignment="1">
      <alignment horizontal="center"/>
    </xf>
    <xf numFmtId="0" fontId="9" fillId="7" borderId="16" xfId="62" applyFont="1" applyFill="1" applyBorder="1" applyAlignment="1">
      <alignment vertical="top" wrapText="1"/>
    </xf>
    <xf numFmtId="3" fontId="9" fillId="7" borderId="14" xfId="4" applyNumberFormat="1" applyFont="1" applyFill="1" applyBorder="1" applyAlignment="1">
      <alignment horizontal="center" vertical="center"/>
    </xf>
    <xf numFmtId="0" fontId="9" fillId="7" borderId="17" xfId="62" applyFont="1" applyFill="1" applyBorder="1" applyAlignment="1">
      <alignment vertical="top" wrapText="1"/>
    </xf>
    <xf numFmtId="3" fontId="10" fillId="7" borderId="9" xfId="4" applyNumberFormat="1" applyFont="1" applyFill="1" applyBorder="1" applyAlignment="1">
      <alignment horizontal="center" vertical="center" wrapText="1"/>
    </xf>
    <xf numFmtId="0" fontId="10" fillId="7" borderId="8" xfId="62" applyFont="1" applyFill="1" applyBorder="1" applyAlignment="1">
      <alignment horizontal="left"/>
    </xf>
    <xf numFmtId="0" fontId="10" fillId="7" borderId="1" xfId="62" applyFont="1" applyFill="1" applyBorder="1" applyAlignment="1">
      <alignment horizontal="center" wrapText="1"/>
    </xf>
    <xf numFmtId="0" fontId="10" fillId="7" borderId="1" xfId="62" applyFont="1" applyFill="1" applyBorder="1" applyAlignment="1">
      <alignment horizontal="center"/>
    </xf>
    <xf numFmtId="184" fontId="10" fillId="7" borderId="1" xfId="55" applyNumberFormat="1" applyFont="1" applyFill="1" applyBorder="1" applyAlignment="1">
      <alignment horizontal="center" vertical="center"/>
    </xf>
    <xf numFmtId="0" fontId="10" fillId="7" borderId="9" xfId="62" applyFont="1" applyFill="1" applyBorder="1" applyAlignment="1">
      <alignment horizontal="center" wrapText="1"/>
    </xf>
    <xf numFmtId="184" fontId="9" fillId="7" borderId="1" xfId="55" applyNumberFormat="1" applyFont="1" applyFill="1" applyBorder="1" applyAlignment="1">
      <alignment horizontal="center"/>
    </xf>
    <xf numFmtId="185" fontId="9" fillId="7" borderId="1" xfId="55" applyNumberFormat="1" applyFont="1" applyFill="1" applyBorder="1" applyAlignment="1">
      <alignment horizontal="center"/>
    </xf>
    <xf numFmtId="186" fontId="9" fillId="7" borderId="1" xfId="4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60" applyFont="1"/>
    <xf numFmtId="3" fontId="9" fillId="7" borderId="11" xfId="4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5" fillId="2" borderId="0" xfId="0" applyFont="1" applyFill="1"/>
    <xf numFmtId="0" fontId="20" fillId="2" borderId="1" xfId="0" applyFont="1" applyFill="1" applyBorder="1"/>
    <xf numFmtId="0" fontId="9" fillId="7" borderId="10" xfId="0" applyFont="1" applyFill="1" applyBorder="1" applyAlignment="1">
      <alignment vertical="top" wrapText="1"/>
    </xf>
    <xf numFmtId="0" fontId="18" fillId="14" borderId="18" xfId="0" applyFont="1" applyFill="1" applyBorder="1" applyAlignment="1">
      <alignment horizontal="center" vertical="center"/>
    </xf>
    <xf numFmtId="177" fontId="9" fillId="7" borderId="1" xfId="62" applyNumberFormat="1" applyFont="1" applyFill="1" applyBorder="1" applyAlignment="1">
      <alignment horizontal="center"/>
    </xf>
    <xf numFmtId="0" fontId="5" fillId="3" borderId="0" xfId="0" applyFont="1" applyFill="1"/>
    <xf numFmtId="0" fontId="21" fillId="2" borderId="19" xfId="0" applyFont="1" applyFill="1" applyBorder="1" applyAlignment="1">
      <alignment horizontal="center"/>
    </xf>
    <xf numFmtId="0" fontId="21" fillId="2" borderId="20" xfId="0" applyFont="1" applyFill="1" applyBorder="1" applyAlignment="1">
      <alignment horizontal="center"/>
    </xf>
    <xf numFmtId="0" fontId="21" fillId="3" borderId="21" xfId="0" applyFont="1" applyFill="1" applyBorder="1"/>
    <xf numFmtId="3" fontId="21" fillId="2" borderId="22" xfId="0" applyNumberFormat="1" applyFont="1" applyFill="1" applyBorder="1" applyAlignment="1">
      <alignment horizontal="right"/>
    </xf>
    <xf numFmtId="0" fontId="21" fillId="2" borderId="22" xfId="0" applyFont="1" applyFill="1" applyBorder="1" applyAlignment="1">
      <alignment horizontal="right"/>
    </xf>
  </cellXfs>
  <cellStyles count="6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" xfId="51"/>
    <cellStyle name="Comma [0] 3 2" xfId="52"/>
    <cellStyle name="Comma 4" xfId="53"/>
    <cellStyle name="Comma 4 2" xfId="54"/>
    <cellStyle name="Currency [0] 2" xfId="55"/>
    <cellStyle name="Currency [0] 2 2" xfId="56"/>
    <cellStyle name="Normal 2 2" xfId="57"/>
    <cellStyle name="Normal 2 3 2" xfId="58"/>
    <cellStyle name="Normal 2 3 2 2" xfId="59"/>
    <cellStyle name="Normal 3" xfId="60"/>
    <cellStyle name="Normal 3 3" xfId="61"/>
    <cellStyle name="Normal 4" xfId="62"/>
    <cellStyle name="Normal 4 4" xfId="63"/>
    <cellStyle name="常规 9 2" xfId="6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F6" sqref="F6"/>
    </sheetView>
  </sheetViews>
  <sheetFormatPr defaultColWidth="9" defaultRowHeight="14.4" outlineLevelRow="2" outlineLevelCol="1"/>
  <cols>
    <col min="1" max="1" width="18.5555555555556" customWidth="1"/>
    <col min="2" max="2" width="29.8888888888889" customWidth="1"/>
  </cols>
  <sheetData>
    <row r="1" ht="15.15" spans="1:2">
      <c r="A1" s="309" t="s">
        <v>0</v>
      </c>
      <c r="B1" s="310"/>
    </row>
    <row r="2" ht="15.15" spans="1:2">
      <c r="A2" s="311" t="s">
        <v>1</v>
      </c>
      <c r="B2" s="312">
        <v>7650000</v>
      </c>
    </row>
    <row r="3" ht="15.15" spans="1:2">
      <c r="A3" s="311" t="s">
        <v>2</v>
      </c>
      <c r="B3" s="313">
        <f>B2+(B2*2.65%)</f>
        <v>7852725</v>
      </c>
    </row>
  </sheetData>
  <mergeCells count="1">
    <mergeCell ref="A1:B1"/>
  </mergeCells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9"/>
  <sheetViews>
    <sheetView zoomScale="73" zoomScaleNormal="73" workbookViewId="0">
      <pane ySplit="6" topLeftCell="A7" activePane="bottomLeft" state="frozen"/>
      <selection/>
      <selection pane="bottomLeft" activeCell="E21" sqref="E21"/>
    </sheetView>
  </sheetViews>
  <sheetFormatPr defaultColWidth="8.88888888888889" defaultRowHeight="13.8"/>
  <cols>
    <col min="1" max="1" width="7.88888888888889" style="39" customWidth="1"/>
    <col min="2" max="2" width="65.4444444444444" style="40" customWidth="1"/>
    <col min="3" max="3" width="10.4444444444444" style="40" customWidth="1"/>
    <col min="4" max="4" width="13.8888888888889" style="41" customWidth="1"/>
    <col min="5" max="5" width="14.3333333333333" style="41" customWidth="1"/>
    <col min="6" max="6" width="16.6666666666667" style="40" hidden="1" customWidth="1"/>
    <col min="7" max="7" width="16.4444444444444" style="40" hidden="1" customWidth="1"/>
    <col min="8" max="8" width="23" style="40" hidden="1" customWidth="1"/>
    <col min="9" max="9" width="22.6666666666667" style="40" hidden="1" customWidth="1"/>
    <col min="10" max="10" width="13.4444444444444" style="39" hidden="1" customWidth="1"/>
    <col min="11" max="11" width="6.88888888888889" style="42" hidden="1" customWidth="1"/>
    <col min="12" max="12" width="4.33333333333333" style="42" hidden="1" customWidth="1"/>
    <col min="13" max="13" width="22.8888888888889" style="40" hidden="1" customWidth="1"/>
    <col min="14" max="14" width="17.4444444444444" style="40" customWidth="1"/>
    <col min="15" max="15" width="52.4444444444444" style="40" customWidth="1"/>
    <col min="16" max="16" width="11.4444444444444" style="40" customWidth="1"/>
    <col min="17" max="17" width="11.4444444444444" style="43" customWidth="1"/>
    <col min="18" max="18" width="42.5555555555556" style="43" customWidth="1"/>
    <col min="19" max="28" width="8.88888888888889" style="43"/>
    <col min="29" max="16384" width="8.88888888888889" style="40"/>
  </cols>
  <sheetData>
    <row r="1" ht="21" spans="1:18">
      <c r="A1" s="44" t="s">
        <v>3</v>
      </c>
      <c r="B1" s="45"/>
      <c r="C1" s="46"/>
      <c r="D1" s="47"/>
      <c r="E1" s="47"/>
      <c r="F1" s="48"/>
      <c r="G1" s="48"/>
      <c r="H1" s="48"/>
      <c r="I1" s="48"/>
      <c r="J1" s="109"/>
      <c r="K1" s="48"/>
      <c r="L1" s="48"/>
      <c r="M1" s="48"/>
      <c r="N1" s="110" t="s">
        <v>4</v>
      </c>
      <c r="O1" s="111"/>
      <c r="P1" s="111"/>
      <c r="Q1" s="146"/>
      <c r="R1" s="147"/>
    </row>
    <row r="2" spans="1:18">
      <c r="A2" s="49" t="s">
        <v>5</v>
      </c>
      <c r="B2" s="50"/>
      <c r="C2" s="48"/>
      <c r="D2" s="47"/>
      <c r="E2" s="47"/>
      <c r="F2" s="48"/>
      <c r="G2" s="48"/>
      <c r="H2" s="48"/>
      <c r="I2" s="48"/>
      <c r="J2" s="109"/>
      <c r="K2" s="48"/>
      <c r="L2" s="48"/>
      <c r="M2" s="48"/>
      <c r="N2" s="112" t="s">
        <v>6</v>
      </c>
      <c r="O2" s="113"/>
      <c r="P2" s="114"/>
      <c r="Q2" s="148"/>
      <c r="R2" s="147"/>
    </row>
    <row r="3" spans="1:18">
      <c r="A3" s="49" t="s">
        <v>7</v>
      </c>
      <c r="B3" s="51"/>
      <c r="C3" s="51"/>
      <c r="D3" s="51"/>
      <c r="E3" s="51"/>
      <c r="F3" s="51"/>
      <c r="G3" s="51"/>
      <c r="H3" s="51"/>
      <c r="I3" s="51"/>
      <c r="J3" s="115"/>
      <c r="K3" s="115"/>
      <c r="L3" s="115"/>
      <c r="M3" s="51"/>
      <c r="N3" s="112" t="s">
        <v>8</v>
      </c>
      <c r="O3" s="113"/>
      <c r="P3" s="116"/>
      <c r="Q3" s="149"/>
      <c r="R3" s="150"/>
    </row>
    <row r="4" spans="1:18">
      <c r="A4" s="49" t="s">
        <v>9</v>
      </c>
      <c r="B4" s="52"/>
      <c r="C4" s="52"/>
      <c r="D4" s="53"/>
      <c r="E4" s="54"/>
      <c r="F4" s="54"/>
      <c r="G4" s="54"/>
      <c r="H4" s="54"/>
      <c r="I4" s="54"/>
      <c r="J4" s="54"/>
      <c r="K4" s="54"/>
      <c r="L4" s="54"/>
      <c r="M4" s="54"/>
      <c r="N4" s="112" t="s">
        <v>10</v>
      </c>
      <c r="O4" s="117" t="s">
        <v>11</v>
      </c>
      <c r="P4" s="118"/>
      <c r="Q4" s="151"/>
      <c r="R4" s="152"/>
    </row>
    <row r="5" spans="1:18">
      <c r="A5" s="55"/>
      <c r="B5" s="47"/>
      <c r="C5" s="47"/>
      <c r="D5" s="47"/>
      <c r="E5" s="47"/>
      <c r="F5" s="48"/>
      <c r="G5" s="48"/>
      <c r="H5" s="48"/>
      <c r="I5" s="48"/>
      <c r="J5" s="109"/>
      <c r="K5" s="48"/>
      <c r="L5" s="48"/>
      <c r="M5" s="48"/>
      <c r="N5" s="119" t="s">
        <v>12</v>
      </c>
      <c r="O5" s="113"/>
      <c r="P5" s="120"/>
      <c r="Q5" s="153"/>
      <c r="R5" s="147"/>
    </row>
    <row r="6" spans="1:18">
      <c r="A6" s="56" t="s">
        <v>13</v>
      </c>
      <c r="B6" s="57" t="s">
        <v>14</v>
      </c>
      <c r="C6" s="58" t="s">
        <v>15</v>
      </c>
      <c r="D6" s="59" t="s">
        <v>16</v>
      </c>
      <c r="E6" s="60" t="s">
        <v>17</v>
      </c>
      <c r="F6" s="60" t="s">
        <v>18</v>
      </c>
      <c r="G6" s="60" t="s">
        <v>19</v>
      </c>
      <c r="H6" s="60" t="s">
        <v>20</v>
      </c>
      <c r="I6" s="60" t="s">
        <v>21</v>
      </c>
      <c r="J6" s="60" t="s">
        <v>22</v>
      </c>
      <c r="K6" s="60"/>
      <c r="L6" s="60"/>
      <c r="M6" s="60" t="s">
        <v>23</v>
      </c>
      <c r="N6" s="121" t="s">
        <v>24</v>
      </c>
      <c r="O6" s="121" t="s">
        <v>25</v>
      </c>
      <c r="P6" s="59" t="s">
        <v>26</v>
      </c>
      <c r="Q6" s="154" t="s">
        <v>27</v>
      </c>
      <c r="R6" s="147"/>
    </row>
    <row r="7" s="36" customFormat="1" spans="1:28">
      <c r="A7" s="61">
        <v>1</v>
      </c>
      <c r="B7" s="62" t="s">
        <v>28</v>
      </c>
      <c r="C7" s="63"/>
      <c r="D7" s="64"/>
      <c r="E7" s="64"/>
      <c r="F7" s="65"/>
      <c r="G7" s="65"/>
      <c r="H7" s="65"/>
      <c r="I7" s="65"/>
      <c r="J7" s="65"/>
      <c r="K7" s="65"/>
      <c r="L7" s="65"/>
      <c r="M7" s="65"/>
      <c r="N7" s="122"/>
      <c r="O7" s="122"/>
      <c r="P7" s="65"/>
      <c r="Q7" s="155"/>
      <c r="R7" s="147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 spans="1:18">
      <c r="A8" s="66">
        <v>1.1</v>
      </c>
      <c r="B8" s="304" t="s">
        <v>29</v>
      </c>
      <c r="C8" s="68" t="s">
        <v>30</v>
      </c>
      <c r="D8" s="69"/>
      <c r="E8" s="70">
        <v>1</v>
      </c>
      <c r="F8" s="71"/>
      <c r="G8" s="72"/>
      <c r="H8" s="73"/>
      <c r="I8" s="73"/>
      <c r="J8" s="73"/>
      <c r="K8" s="69"/>
      <c r="L8" s="123">
        <f>F8+G8</f>
        <v>0</v>
      </c>
      <c r="M8" s="96"/>
      <c r="N8" s="306">
        <v>500004774</v>
      </c>
      <c r="O8" s="125" t="s">
        <v>31</v>
      </c>
      <c r="P8" s="96" t="s">
        <v>32</v>
      </c>
      <c r="Q8" s="155" t="s">
        <v>33</v>
      </c>
      <c r="R8" s="147"/>
    </row>
    <row r="9" spans="1:18">
      <c r="A9" s="66">
        <v>1.2</v>
      </c>
      <c r="B9" s="67" t="s">
        <v>34</v>
      </c>
      <c r="C9" s="68" t="s">
        <v>30</v>
      </c>
      <c r="D9" s="69"/>
      <c r="E9" s="70">
        <v>1</v>
      </c>
      <c r="F9" s="71"/>
      <c r="G9" s="72"/>
      <c r="H9" s="73">
        <f>D9*F9</f>
        <v>0</v>
      </c>
      <c r="I9" s="73"/>
      <c r="J9" s="73"/>
      <c r="K9" s="69">
        <f>D9+E9</f>
        <v>1</v>
      </c>
      <c r="L9" s="123">
        <f>F9+G9</f>
        <v>0</v>
      </c>
      <c r="M9" s="96"/>
      <c r="N9" s="124">
        <v>500003890</v>
      </c>
      <c r="O9" s="125" t="s">
        <v>35</v>
      </c>
      <c r="P9" s="96" t="s">
        <v>32</v>
      </c>
      <c r="Q9" s="155" t="s">
        <v>33</v>
      </c>
      <c r="R9" s="147"/>
    </row>
    <row r="10" s="37" customFormat="1" spans="1:28">
      <c r="A10" s="74" t="s">
        <v>36</v>
      </c>
      <c r="B10" s="75"/>
      <c r="C10" s="76"/>
      <c r="D10" s="77"/>
      <c r="E10" s="78"/>
      <c r="F10" s="79"/>
      <c r="G10" s="79"/>
      <c r="H10" s="80">
        <f>SUM(H8:H8)</f>
        <v>0</v>
      </c>
      <c r="I10" s="126">
        <f>SUM(I8:I8)</f>
        <v>0</v>
      </c>
      <c r="J10" s="127">
        <f>H10+I10</f>
        <v>0</v>
      </c>
      <c r="K10" s="127"/>
      <c r="L10" s="127"/>
      <c r="M10" s="127"/>
      <c r="N10" s="75"/>
      <c r="O10" s="75"/>
      <c r="P10" s="127"/>
      <c r="Q10" s="156"/>
      <c r="R10" s="157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spans="1:18">
      <c r="A11" s="81"/>
      <c r="B11" s="82"/>
      <c r="C11" s="83"/>
      <c r="D11" s="84"/>
      <c r="E11" s="85"/>
      <c r="F11" s="86"/>
      <c r="G11" s="86"/>
      <c r="H11" s="87"/>
      <c r="I11" s="128"/>
      <c r="J11" s="128"/>
      <c r="K11" s="128"/>
      <c r="L11" s="128"/>
      <c r="M11" s="128"/>
      <c r="N11" s="129"/>
      <c r="O11" s="129"/>
      <c r="P11" s="60"/>
      <c r="Q11" s="156"/>
      <c r="R11" s="147"/>
    </row>
    <row r="12" ht="27.6" spans="1:18">
      <c r="A12" s="56">
        <v>2</v>
      </c>
      <c r="B12" s="88" t="s">
        <v>37</v>
      </c>
      <c r="C12" s="89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130"/>
      <c r="Q12" s="158"/>
      <c r="R12" s="147"/>
    </row>
    <row r="13" s="36" customFormat="1" spans="1:28">
      <c r="A13" s="61">
        <v>2.1</v>
      </c>
      <c r="B13" s="91" t="s">
        <v>38</v>
      </c>
      <c r="C13" s="92"/>
      <c r="D13" s="93"/>
      <c r="E13" s="93"/>
      <c r="F13" s="94"/>
      <c r="G13" s="94"/>
      <c r="H13" s="94"/>
      <c r="I13" s="94"/>
      <c r="J13" s="94"/>
      <c r="K13" s="94"/>
      <c r="L13" s="94"/>
      <c r="M13" s="94"/>
      <c r="N13" s="131"/>
      <c r="O13" s="131"/>
      <c r="P13" s="65"/>
      <c r="Q13" s="155"/>
      <c r="R13" s="147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ht="12" customHeight="1" spans="1:18">
      <c r="A14" s="66" t="s">
        <v>39</v>
      </c>
      <c r="B14" s="95" t="s">
        <v>40</v>
      </c>
      <c r="C14" s="68"/>
      <c r="D14" s="69"/>
      <c r="E14" s="69"/>
      <c r="F14" s="86"/>
      <c r="G14" s="86"/>
      <c r="H14" s="96"/>
      <c r="I14" s="132"/>
      <c r="J14" s="132"/>
      <c r="K14" s="132"/>
      <c r="L14" s="132"/>
      <c r="M14" s="96"/>
      <c r="N14" s="66"/>
      <c r="O14" s="66"/>
      <c r="P14" s="96"/>
      <c r="Q14" s="155"/>
      <c r="R14" s="147"/>
    </row>
    <row r="15" ht="12" customHeight="1" spans="1:18">
      <c r="A15" s="66"/>
      <c r="B15" s="95" t="s">
        <v>41</v>
      </c>
      <c r="C15" s="68" t="s">
        <v>42</v>
      </c>
      <c r="D15" s="70">
        <f>SUM('BoM AE'!C16:C19)</f>
        <v>0</v>
      </c>
      <c r="E15" s="69"/>
      <c r="F15" s="71"/>
      <c r="G15" s="97"/>
      <c r="H15" s="69">
        <f t="shared" ref="H15:I20" si="0">D15*F15</f>
        <v>0</v>
      </c>
      <c r="I15" s="69">
        <f t="shared" si="0"/>
        <v>0</v>
      </c>
      <c r="J15" s="69"/>
      <c r="K15" s="69">
        <f t="shared" ref="K15:K20" si="1">D15+E15</f>
        <v>0</v>
      </c>
      <c r="L15" s="69">
        <f t="shared" ref="L15:L20" si="2">F15+G15</f>
        <v>0</v>
      </c>
      <c r="M15" s="133"/>
      <c r="N15" s="66">
        <v>200000100</v>
      </c>
      <c r="O15" s="134" t="s">
        <v>43</v>
      </c>
      <c r="P15" s="96" t="s">
        <v>32</v>
      </c>
      <c r="Q15" s="155" t="s">
        <v>44</v>
      </c>
      <c r="R15" s="147"/>
    </row>
    <row r="16" ht="12" customHeight="1" spans="1:18">
      <c r="A16" s="66"/>
      <c r="B16" s="95" t="s">
        <v>45</v>
      </c>
      <c r="C16" s="68" t="s">
        <v>42</v>
      </c>
      <c r="D16" s="69"/>
      <c r="E16" s="70">
        <f>D15</f>
        <v>0</v>
      </c>
      <c r="F16" s="97"/>
      <c r="G16" s="71"/>
      <c r="H16" s="69">
        <f t="shared" si="0"/>
        <v>0</v>
      </c>
      <c r="I16" s="69">
        <f t="shared" si="0"/>
        <v>0</v>
      </c>
      <c r="J16" s="69"/>
      <c r="K16" s="69">
        <f t="shared" si="1"/>
        <v>0</v>
      </c>
      <c r="L16" s="69">
        <f t="shared" si="2"/>
        <v>0</v>
      </c>
      <c r="M16" s="133"/>
      <c r="N16" s="135">
        <v>500002050</v>
      </c>
      <c r="O16" s="134" t="s">
        <v>46</v>
      </c>
      <c r="P16" s="96" t="s">
        <v>27</v>
      </c>
      <c r="Q16" s="155" t="s">
        <v>33</v>
      </c>
      <c r="R16" s="147"/>
    </row>
    <row r="17" ht="12" customHeight="1" spans="1:18">
      <c r="A17" s="66"/>
      <c r="B17" s="95" t="s">
        <v>47</v>
      </c>
      <c r="C17" s="68" t="s">
        <v>42</v>
      </c>
      <c r="D17" s="70">
        <f>SUM('BoM AE'!C20:C23)</f>
        <v>0</v>
      </c>
      <c r="E17" s="69"/>
      <c r="F17" s="97"/>
      <c r="G17" s="97"/>
      <c r="H17" s="69">
        <f t="shared" si="0"/>
        <v>0</v>
      </c>
      <c r="I17" s="69">
        <f t="shared" si="0"/>
        <v>0</v>
      </c>
      <c r="J17" s="69"/>
      <c r="K17" s="69">
        <f t="shared" si="1"/>
        <v>0</v>
      </c>
      <c r="L17" s="69">
        <f t="shared" si="2"/>
        <v>0</v>
      </c>
      <c r="M17" s="133"/>
      <c r="N17" s="66">
        <v>200000975</v>
      </c>
      <c r="O17" s="136" t="s">
        <v>48</v>
      </c>
      <c r="P17" s="96" t="s">
        <v>32</v>
      </c>
      <c r="Q17" s="155" t="s">
        <v>44</v>
      </c>
      <c r="R17" s="147"/>
    </row>
    <row r="18" ht="12" customHeight="1" spans="1:18">
      <c r="A18" s="66"/>
      <c r="B18" s="95" t="s">
        <v>49</v>
      </c>
      <c r="C18" s="68" t="s">
        <v>42</v>
      </c>
      <c r="D18" s="69"/>
      <c r="E18" s="70">
        <f>D17</f>
        <v>0</v>
      </c>
      <c r="F18" s="97"/>
      <c r="G18" s="97"/>
      <c r="H18" s="69">
        <f t="shared" si="0"/>
        <v>0</v>
      </c>
      <c r="I18" s="69">
        <f t="shared" si="0"/>
        <v>0</v>
      </c>
      <c r="J18" s="69"/>
      <c r="K18" s="69">
        <f t="shared" si="1"/>
        <v>0</v>
      </c>
      <c r="L18" s="69">
        <f t="shared" si="2"/>
        <v>0</v>
      </c>
      <c r="M18" s="133"/>
      <c r="N18" s="135">
        <v>500002051</v>
      </c>
      <c r="O18" s="136" t="s">
        <v>50</v>
      </c>
      <c r="P18" s="96" t="s">
        <v>27</v>
      </c>
      <c r="Q18" s="155" t="s">
        <v>33</v>
      </c>
      <c r="R18" s="147"/>
    </row>
    <row r="19" ht="12" customHeight="1" spans="1:18">
      <c r="A19" s="66"/>
      <c r="B19" s="95" t="s">
        <v>51</v>
      </c>
      <c r="C19" s="68" t="s">
        <v>42</v>
      </c>
      <c r="D19" s="70">
        <f>E20</f>
        <v>0</v>
      </c>
      <c r="E19" s="69"/>
      <c r="F19" s="71"/>
      <c r="G19" s="97"/>
      <c r="H19" s="69">
        <f t="shared" si="0"/>
        <v>0</v>
      </c>
      <c r="I19" s="69">
        <f t="shared" si="0"/>
        <v>0</v>
      </c>
      <c r="J19" s="69"/>
      <c r="K19" s="69">
        <f t="shared" si="1"/>
        <v>0</v>
      </c>
      <c r="L19" s="69">
        <f t="shared" si="2"/>
        <v>0</v>
      </c>
      <c r="M19" s="133"/>
      <c r="N19" s="135">
        <v>200001038</v>
      </c>
      <c r="O19" s="136" t="s">
        <v>52</v>
      </c>
      <c r="P19" s="96" t="s">
        <v>32</v>
      </c>
      <c r="Q19" s="155" t="s">
        <v>44</v>
      </c>
      <c r="R19" s="147"/>
    </row>
    <row r="20" ht="12" customHeight="1" spans="1:18">
      <c r="A20" s="66"/>
      <c r="B20" s="95" t="s">
        <v>53</v>
      </c>
      <c r="C20" s="68" t="s">
        <v>42</v>
      </c>
      <c r="D20" s="69"/>
      <c r="E20" s="70">
        <f>SUM('BoM AE'!C24:C27)</f>
        <v>0</v>
      </c>
      <c r="F20" s="97"/>
      <c r="G20" s="71"/>
      <c r="H20" s="69">
        <f t="shared" si="0"/>
        <v>0</v>
      </c>
      <c r="I20" s="69">
        <f t="shared" si="0"/>
        <v>0</v>
      </c>
      <c r="J20" s="69"/>
      <c r="K20" s="69">
        <f t="shared" si="1"/>
        <v>0</v>
      </c>
      <c r="L20" s="69">
        <f t="shared" si="2"/>
        <v>0</v>
      </c>
      <c r="M20" s="133"/>
      <c r="N20" s="135">
        <v>500002052</v>
      </c>
      <c r="O20" s="136" t="s">
        <v>54</v>
      </c>
      <c r="P20" s="96" t="s">
        <v>27</v>
      </c>
      <c r="Q20" s="155" t="s">
        <v>33</v>
      </c>
      <c r="R20" s="147"/>
    </row>
    <row r="21" ht="12" customHeight="1" spans="1:18">
      <c r="A21" s="66"/>
      <c r="B21" s="95" t="s">
        <v>55</v>
      </c>
      <c r="C21" s="68" t="s">
        <v>42</v>
      </c>
      <c r="D21" s="69"/>
      <c r="E21" s="69"/>
      <c r="F21" s="97"/>
      <c r="G21" s="71"/>
      <c r="H21" s="69"/>
      <c r="I21" s="69"/>
      <c r="J21" s="69"/>
      <c r="K21" s="69"/>
      <c r="L21" s="69"/>
      <c r="M21" s="133"/>
      <c r="N21" s="135">
        <v>200001970</v>
      </c>
      <c r="O21" s="136" t="s">
        <v>56</v>
      </c>
      <c r="P21" s="96" t="s">
        <v>32</v>
      </c>
      <c r="Q21" s="155" t="s">
        <v>44</v>
      </c>
      <c r="R21" s="147"/>
    </row>
    <row r="22" ht="12" customHeight="1" spans="1:18">
      <c r="A22" s="66"/>
      <c r="B22" s="95" t="s">
        <v>57</v>
      </c>
      <c r="C22" s="68" t="s">
        <v>42</v>
      </c>
      <c r="D22" s="69"/>
      <c r="E22" s="69"/>
      <c r="F22" s="97"/>
      <c r="G22" s="71"/>
      <c r="H22" s="69"/>
      <c r="I22" s="69"/>
      <c r="J22" s="69"/>
      <c r="K22" s="69"/>
      <c r="L22" s="69"/>
      <c r="M22" s="133"/>
      <c r="N22" s="135">
        <v>500003410</v>
      </c>
      <c r="O22" s="136" t="s">
        <v>58</v>
      </c>
      <c r="P22" s="96" t="s">
        <v>27</v>
      </c>
      <c r="Q22" s="155" t="s">
        <v>33</v>
      </c>
      <c r="R22" s="147"/>
    </row>
    <row r="23" ht="12" customHeight="1" spans="1:18">
      <c r="A23" s="66"/>
      <c r="B23" s="95" t="s">
        <v>59</v>
      </c>
      <c r="C23" s="68" t="s">
        <v>42</v>
      </c>
      <c r="D23" s="69"/>
      <c r="E23" s="69"/>
      <c r="F23" s="97"/>
      <c r="G23" s="71"/>
      <c r="H23" s="69"/>
      <c r="I23" s="69"/>
      <c r="J23" s="69"/>
      <c r="K23" s="69"/>
      <c r="L23" s="69"/>
      <c r="M23" s="133"/>
      <c r="N23" s="135">
        <v>200001630</v>
      </c>
      <c r="O23" s="136" t="s">
        <v>60</v>
      </c>
      <c r="P23" s="96" t="s">
        <v>32</v>
      </c>
      <c r="Q23" s="155" t="s">
        <v>44</v>
      </c>
      <c r="R23" s="147"/>
    </row>
    <row r="24" ht="12" customHeight="1" spans="1:18">
      <c r="A24" s="66"/>
      <c r="B24" s="95" t="s">
        <v>61</v>
      </c>
      <c r="C24" s="68" t="s">
        <v>42</v>
      </c>
      <c r="D24" s="69"/>
      <c r="E24" s="69"/>
      <c r="F24" s="97"/>
      <c r="G24" s="71"/>
      <c r="H24" s="69"/>
      <c r="I24" s="69"/>
      <c r="J24" s="69"/>
      <c r="K24" s="69"/>
      <c r="L24" s="69"/>
      <c r="M24" s="133"/>
      <c r="N24" s="135">
        <v>500002890</v>
      </c>
      <c r="O24" s="136" t="s">
        <v>62</v>
      </c>
      <c r="P24" s="96" t="s">
        <v>27</v>
      </c>
      <c r="Q24" s="155" t="s">
        <v>33</v>
      </c>
      <c r="R24" s="147"/>
    </row>
    <row r="25" ht="12" customHeight="1" spans="1:18">
      <c r="A25" s="66"/>
      <c r="B25" s="95" t="s">
        <v>63</v>
      </c>
      <c r="C25" s="68" t="s">
        <v>42</v>
      </c>
      <c r="D25" s="69"/>
      <c r="E25" s="69"/>
      <c r="F25" s="97"/>
      <c r="G25" s="97"/>
      <c r="H25" s="69">
        <f t="shared" ref="H25:I73" si="3">D25*F25</f>
        <v>0</v>
      </c>
      <c r="I25" s="69">
        <f t="shared" si="3"/>
        <v>0</v>
      </c>
      <c r="J25" s="69"/>
      <c r="K25" s="69">
        <f t="shared" ref="K25:K78" si="4">D25+E25</f>
        <v>0</v>
      </c>
      <c r="L25" s="69">
        <f t="shared" ref="L25:L78" si="5">F25+G25</f>
        <v>0</v>
      </c>
      <c r="M25" s="133"/>
      <c r="N25" s="135">
        <v>200001030</v>
      </c>
      <c r="O25" s="136" t="s">
        <v>64</v>
      </c>
      <c r="P25" s="96" t="s">
        <v>32</v>
      </c>
      <c r="Q25" s="155" t="s">
        <v>44</v>
      </c>
      <c r="R25" s="147"/>
    </row>
    <row r="26" ht="12" customHeight="1" spans="1:18">
      <c r="A26" s="66"/>
      <c r="B26" s="95" t="s">
        <v>65</v>
      </c>
      <c r="C26" s="68" t="s">
        <v>42</v>
      </c>
      <c r="D26" s="69"/>
      <c r="E26" s="69"/>
      <c r="F26" s="97"/>
      <c r="G26" s="97"/>
      <c r="H26" s="69">
        <f t="shared" si="3"/>
        <v>0</v>
      </c>
      <c r="I26" s="69">
        <f t="shared" si="3"/>
        <v>0</v>
      </c>
      <c r="J26" s="69"/>
      <c r="K26" s="69">
        <f t="shared" si="4"/>
        <v>0</v>
      </c>
      <c r="L26" s="69">
        <f t="shared" si="5"/>
        <v>0</v>
      </c>
      <c r="M26" s="133"/>
      <c r="N26" s="135">
        <v>500002088</v>
      </c>
      <c r="O26" s="136" t="s">
        <v>66</v>
      </c>
      <c r="P26" s="96" t="s">
        <v>27</v>
      </c>
      <c r="Q26" s="155" t="s">
        <v>33</v>
      </c>
      <c r="R26" s="147"/>
    </row>
    <row r="27" ht="12" customHeight="1" spans="1:18">
      <c r="A27" s="66"/>
      <c r="B27" s="95" t="s">
        <v>67</v>
      </c>
      <c r="C27" s="68" t="s">
        <v>42</v>
      </c>
      <c r="D27" s="69"/>
      <c r="E27" s="69"/>
      <c r="F27" s="97"/>
      <c r="G27" s="97"/>
      <c r="H27" s="69">
        <f t="shared" si="3"/>
        <v>0</v>
      </c>
      <c r="I27" s="69">
        <f t="shared" si="3"/>
        <v>0</v>
      </c>
      <c r="J27" s="69"/>
      <c r="K27" s="69">
        <f t="shared" si="4"/>
        <v>0</v>
      </c>
      <c r="L27" s="69">
        <f t="shared" si="5"/>
        <v>0</v>
      </c>
      <c r="M27" s="133"/>
      <c r="N27" s="135">
        <v>200001015</v>
      </c>
      <c r="O27" s="136" t="s">
        <v>68</v>
      </c>
      <c r="P27" s="96" t="s">
        <v>32</v>
      </c>
      <c r="Q27" s="155" t="s">
        <v>44</v>
      </c>
      <c r="R27" s="147"/>
    </row>
    <row r="28" spans="1:18">
      <c r="A28" s="66"/>
      <c r="B28" s="95" t="s">
        <v>69</v>
      </c>
      <c r="C28" s="68" t="s">
        <v>42</v>
      </c>
      <c r="D28" s="69"/>
      <c r="E28" s="69"/>
      <c r="F28" s="97"/>
      <c r="G28" s="97"/>
      <c r="H28" s="69">
        <f t="shared" si="3"/>
        <v>0</v>
      </c>
      <c r="I28" s="69">
        <f t="shared" si="3"/>
        <v>0</v>
      </c>
      <c r="J28" s="69"/>
      <c r="K28" s="69">
        <f t="shared" si="4"/>
        <v>0</v>
      </c>
      <c r="L28" s="69">
        <f t="shared" si="5"/>
        <v>0</v>
      </c>
      <c r="M28" s="133"/>
      <c r="N28" s="135">
        <v>500002089</v>
      </c>
      <c r="O28" s="136" t="s">
        <v>70</v>
      </c>
      <c r="P28" s="96" t="s">
        <v>27</v>
      </c>
      <c r="Q28" s="155" t="s">
        <v>33</v>
      </c>
      <c r="R28" s="147"/>
    </row>
    <row r="29" spans="1:18">
      <c r="A29" s="66"/>
      <c r="B29" s="99" t="s">
        <v>71</v>
      </c>
      <c r="C29" s="100" t="s">
        <v>72</v>
      </c>
      <c r="D29" s="69"/>
      <c r="E29" s="69"/>
      <c r="F29" s="97"/>
      <c r="G29" s="97"/>
      <c r="H29" s="69"/>
      <c r="I29" s="69"/>
      <c r="J29" s="69"/>
      <c r="K29" s="69"/>
      <c r="L29" s="69"/>
      <c r="M29" s="133"/>
      <c r="N29" s="100">
        <v>200002668</v>
      </c>
      <c r="O29" s="99" t="s">
        <v>73</v>
      </c>
      <c r="P29" s="138" t="s">
        <v>32</v>
      </c>
      <c r="Q29" s="155"/>
      <c r="R29" s="147"/>
    </row>
    <row r="30" spans="1:18">
      <c r="A30" s="66"/>
      <c r="B30" s="99" t="s">
        <v>74</v>
      </c>
      <c r="C30" s="100" t="s">
        <v>72</v>
      </c>
      <c r="D30" s="69"/>
      <c r="E30" s="69"/>
      <c r="F30" s="97"/>
      <c r="G30" s="97"/>
      <c r="H30" s="69"/>
      <c r="I30" s="69"/>
      <c r="J30" s="69"/>
      <c r="K30" s="69"/>
      <c r="L30" s="69"/>
      <c r="M30" s="133"/>
      <c r="N30" s="100">
        <v>500004722</v>
      </c>
      <c r="O30" s="99" t="s">
        <v>75</v>
      </c>
      <c r="P30" s="138" t="s">
        <v>27</v>
      </c>
      <c r="Q30" s="155"/>
      <c r="R30" s="147"/>
    </row>
    <row r="31" spans="1:18">
      <c r="A31" s="66"/>
      <c r="B31" s="99" t="s">
        <v>76</v>
      </c>
      <c r="C31" s="100" t="s">
        <v>72</v>
      </c>
      <c r="D31" s="69"/>
      <c r="E31" s="69"/>
      <c r="F31" s="97"/>
      <c r="G31" s="97"/>
      <c r="H31" s="69"/>
      <c r="I31" s="69"/>
      <c r="J31" s="69"/>
      <c r="K31" s="69"/>
      <c r="L31" s="69"/>
      <c r="M31" s="133"/>
      <c r="N31" s="100">
        <v>200002669</v>
      </c>
      <c r="O31" s="99" t="s">
        <v>77</v>
      </c>
      <c r="P31" s="138" t="s">
        <v>32</v>
      </c>
      <c r="Q31" s="155"/>
      <c r="R31" s="147"/>
    </row>
    <row r="32" spans="1:18">
      <c r="A32" s="66"/>
      <c r="B32" s="99" t="s">
        <v>78</v>
      </c>
      <c r="C32" s="100" t="s">
        <v>72</v>
      </c>
      <c r="D32" s="69"/>
      <c r="E32" s="69"/>
      <c r="F32" s="97"/>
      <c r="G32" s="97"/>
      <c r="H32" s="69"/>
      <c r="I32" s="69"/>
      <c r="J32" s="69"/>
      <c r="K32" s="69"/>
      <c r="L32" s="69"/>
      <c r="M32" s="133"/>
      <c r="N32" s="100">
        <v>500004723</v>
      </c>
      <c r="O32" s="99" t="s">
        <v>79</v>
      </c>
      <c r="P32" s="138" t="s">
        <v>27</v>
      </c>
      <c r="Q32" s="155"/>
      <c r="R32" s="147"/>
    </row>
    <row r="33" spans="1:18">
      <c r="A33" s="66"/>
      <c r="B33" s="99" t="s">
        <v>80</v>
      </c>
      <c r="C33" s="100" t="s">
        <v>72</v>
      </c>
      <c r="D33" s="69"/>
      <c r="E33" s="69"/>
      <c r="F33" s="97"/>
      <c r="G33" s="97"/>
      <c r="H33" s="69"/>
      <c r="I33" s="69"/>
      <c r="J33" s="69"/>
      <c r="K33" s="69"/>
      <c r="L33" s="69"/>
      <c r="M33" s="133"/>
      <c r="N33" s="100">
        <v>200002670</v>
      </c>
      <c r="O33" s="99" t="s">
        <v>81</v>
      </c>
      <c r="P33" s="138" t="s">
        <v>32</v>
      </c>
      <c r="Q33" s="155"/>
      <c r="R33" s="147"/>
    </row>
    <row r="34" spans="1:18">
      <c r="A34" s="66"/>
      <c r="B34" s="99" t="s">
        <v>82</v>
      </c>
      <c r="C34" s="100" t="s">
        <v>72</v>
      </c>
      <c r="D34" s="69"/>
      <c r="E34" s="69"/>
      <c r="F34" s="97"/>
      <c r="G34" s="97"/>
      <c r="H34" s="69"/>
      <c r="I34" s="69"/>
      <c r="J34" s="69"/>
      <c r="K34" s="69"/>
      <c r="L34" s="69"/>
      <c r="M34" s="133"/>
      <c r="N34" s="100">
        <v>500004724</v>
      </c>
      <c r="O34" s="99" t="s">
        <v>83</v>
      </c>
      <c r="P34" s="138" t="s">
        <v>27</v>
      </c>
      <c r="Q34" s="155"/>
      <c r="R34" s="147"/>
    </row>
    <row r="35" spans="1:18">
      <c r="A35" s="66"/>
      <c r="B35" s="99" t="s">
        <v>84</v>
      </c>
      <c r="C35" s="100" t="s">
        <v>72</v>
      </c>
      <c r="D35" s="69"/>
      <c r="E35" s="69"/>
      <c r="F35" s="97"/>
      <c r="G35" s="97"/>
      <c r="H35" s="69"/>
      <c r="I35" s="69"/>
      <c r="J35" s="69"/>
      <c r="K35" s="69"/>
      <c r="L35" s="69"/>
      <c r="M35" s="133"/>
      <c r="N35" s="100">
        <v>200002671</v>
      </c>
      <c r="O35" s="99" t="s">
        <v>85</v>
      </c>
      <c r="P35" s="138" t="s">
        <v>32</v>
      </c>
      <c r="Q35" s="155"/>
      <c r="R35" s="147"/>
    </row>
    <row r="36" spans="1:18">
      <c r="A36" s="66"/>
      <c r="B36" s="99" t="s">
        <v>86</v>
      </c>
      <c r="C36" s="100" t="s">
        <v>72</v>
      </c>
      <c r="D36" s="69"/>
      <c r="E36" s="69"/>
      <c r="F36" s="97"/>
      <c r="G36" s="97"/>
      <c r="H36" s="69"/>
      <c r="I36" s="69"/>
      <c r="J36" s="69"/>
      <c r="K36" s="69"/>
      <c r="L36" s="69"/>
      <c r="M36" s="133"/>
      <c r="N36" s="100">
        <v>500004725</v>
      </c>
      <c r="O36" s="99" t="s">
        <v>87</v>
      </c>
      <c r="P36" s="138" t="s">
        <v>27</v>
      </c>
      <c r="Q36" s="155"/>
      <c r="R36" s="147"/>
    </row>
    <row r="37" spans="1:18">
      <c r="A37" s="66"/>
      <c r="B37" s="305" t="s">
        <v>88</v>
      </c>
      <c r="C37" s="100" t="s">
        <v>72</v>
      </c>
      <c r="D37" s="69"/>
      <c r="E37" s="69"/>
      <c r="F37" s="97"/>
      <c r="G37" s="97"/>
      <c r="H37" s="69"/>
      <c r="I37" s="69"/>
      <c r="J37" s="69"/>
      <c r="K37" s="69"/>
      <c r="L37" s="69"/>
      <c r="M37" s="133"/>
      <c r="N37" s="139">
        <v>200002713</v>
      </c>
      <c r="O37" s="305" t="s">
        <v>89</v>
      </c>
      <c r="P37" s="138" t="s">
        <v>32</v>
      </c>
      <c r="Q37" s="155"/>
      <c r="R37" s="147"/>
    </row>
    <row r="38" spans="1:18">
      <c r="A38" s="66"/>
      <c r="B38" s="305" t="s">
        <v>90</v>
      </c>
      <c r="C38" s="100" t="s">
        <v>72</v>
      </c>
      <c r="D38" s="69"/>
      <c r="E38" s="69"/>
      <c r="F38" s="97"/>
      <c r="G38" s="97"/>
      <c r="H38" s="69"/>
      <c r="I38" s="69"/>
      <c r="J38" s="69"/>
      <c r="K38" s="69"/>
      <c r="L38" s="69"/>
      <c r="M38" s="133"/>
      <c r="N38" s="139">
        <v>500004777</v>
      </c>
      <c r="O38" s="305" t="s">
        <v>91</v>
      </c>
      <c r="P38" s="138" t="s">
        <v>27</v>
      </c>
      <c r="Q38" s="155"/>
      <c r="R38" s="147"/>
    </row>
    <row r="39" spans="1:18">
      <c r="A39" s="66"/>
      <c r="B39" s="305" t="s">
        <v>92</v>
      </c>
      <c r="C39" s="100" t="s">
        <v>72</v>
      </c>
      <c r="D39" s="69"/>
      <c r="E39" s="69"/>
      <c r="F39" s="97"/>
      <c r="G39" s="97"/>
      <c r="H39" s="69"/>
      <c r="I39" s="69"/>
      <c r="J39" s="69"/>
      <c r="K39" s="69"/>
      <c r="L39" s="69"/>
      <c r="M39" s="133"/>
      <c r="N39" s="139">
        <v>200002714</v>
      </c>
      <c r="O39" s="305" t="s">
        <v>93</v>
      </c>
      <c r="P39" s="138" t="s">
        <v>32</v>
      </c>
      <c r="Q39" s="155"/>
      <c r="R39" s="147"/>
    </row>
    <row r="40" spans="1:18">
      <c r="A40" s="66"/>
      <c r="B40" s="305" t="s">
        <v>94</v>
      </c>
      <c r="C40" s="100" t="s">
        <v>72</v>
      </c>
      <c r="D40" s="69"/>
      <c r="E40" s="69"/>
      <c r="F40" s="97"/>
      <c r="G40" s="97"/>
      <c r="H40" s="69"/>
      <c r="I40" s="69"/>
      <c r="J40" s="69"/>
      <c r="K40" s="69"/>
      <c r="L40" s="69"/>
      <c r="M40" s="133"/>
      <c r="N40" s="139">
        <v>500004778</v>
      </c>
      <c r="O40" s="305" t="s">
        <v>95</v>
      </c>
      <c r="P40" s="138" t="s">
        <v>27</v>
      </c>
      <c r="Q40" s="155"/>
      <c r="R40" s="147"/>
    </row>
    <row r="41" ht="12" customHeight="1" spans="1:18">
      <c r="A41" s="66" t="s">
        <v>96</v>
      </c>
      <c r="B41" s="95" t="s">
        <v>97</v>
      </c>
      <c r="C41" s="68"/>
      <c r="D41" s="69"/>
      <c r="E41" s="69"/>
      <c r="F41" s="97"/>
      <c r="G41" s="97"/>
      <c r="H41" s="69">
        <f t="shared" si="3"/>
        <v>0</v>
      </c>
      <c r="I41" s="69">
        <f t="shared" si="3"/>
        <v>0</v>
      </c>
      <c r="J41" s="69"/>
      <c r="K41" s="69">
        <f t="shared" si="4"/>
        <v>0</v>
      </c>
      <c r="L41" s="69">
        <f t="shared" si="5"/>
        <v>0</v>
      </c>
      <c r="M41" s="133"/>
      <c r="N41" s="135"/>
      <c r="O41" s="66"/>
      <c r="P41" s="96"/>
      <c r="Q41" s="155"/>
      <c r="R41" s="147"/>
    </row>
    <row r="42" ht="12" customHeight="1" spans="1:18">
      <c r="A42" s="66"/>
      <c r="B42" s="95" t="s">
        <v>98</v>
      </c>
      <c r="C42" s="66" t="s">
        <v>72</v>
      </c>
      <c r="D42" s="70">
        <f>E43</f>
        <v>0</v>
      </c>
      <c r="E42" s="69"/>
      <c r="F42" s="102"/>
      <c r="G42" s="97"/>
      <c r="H42" s="69">
        <f t="shared" si="3"/>
        <v>0</v>
      </c>
      <c r="I42" s="69">
        <f t="shared" si="3"/>
        <v>0</v>
      </c>
      <c r="J42" s="69"/>
      <c r="K42" s="69">
        <f t="shared" si="4"/>
        <v>0</v>
      </c>
      <c r="L42" s="69">
        <f t="shared" si="5"/>
        <v>0</v>
      </c>
      <c r="M42" s="133"/>
      <c r="N42" s="135">
        <v>200001039</v>
      </c>
      <c r="O42" s="136" t="s">
        <v>99</v>
      </c>
      <c r="P42" s="96" t="s">
        <v>32</v>
      </c>
      <c r="Q42" s="155"/>
      <c r="R42" s="147"/>
    </row>
    <row r="43" ht="12" customHeight="1" spans="1:18">
      <c r="A43" s="66"/>
      <c r="B43" s="95" t="s">
        <v>100</v>
      </c>
      <c r="C43" s="66" t="s">
        <v>72</v>
      </c>
      <c r="D43" s="69"/>
      <c r="E43" s="70">
        <f>'BoM AE'!C30</f>
        <v>0</v>
      </c>
      <c r="F43" s="97"/>
      <c r="G43" s="102"/>
      <c r="H43" s="69"/>
      <c r="I43" s="69">
        <f t="shared" si="3"/>
        <v>0</v>
      </c>
      <c r="J43" s="69"/>
      <c r="K43" s="69">
        <f t="shared" si="4"/>
        <v>0</v>
      </c>
      <c r="L43" s="69">
        <f t="shared" si="5"/>
        <v>0</v>
      </c>
      <c r="M43" s="133"/>
      <c r="N43" s="135">
        <v>500002053</v>
      </c>
      <c r="O43" s="136" t="s">
        <v>101</v>
      </c>
      <c r="P43" s="96" t="s">
        <v>27</v>
      </c>
      <c r="Q43" s="155"/>
      <c r="R43" s="147"/>
    </row>
    <row r="44" ht="12" customHeight="1" spans="1:18">
      <c r="A44" s="103"/>
      <c r="B44" s="95" t="s">
        <v>102</v>
      </c>
      <c r="C44" s="103" t="s">
        <v>72</v>
      </c>
      <c r="D44" s="70">
        <f>'BoM AE'!C31</f>
        <v>0</v>
      </c>
      <c r="E44" s="69"/>
      <c r="F44" s="102"/>
      <c r="G44" s="97"/>
      <c r="H44" s="69">
        <f t="shared" si="3"/>
        <v>0</v>
      </c>
      <c r="I44" s="69">
        <f t="shared" si="3"/>
        <v>0</v>
      </c>
      <c r="J44" s="69"/>
      <c r="K44" s="69">
        <f t="shared" si="4"/>
        <v>0</v>
      </c>
      <c r="L44" s="69">
        <f t="shared" si="5"/>
        <v>0</v>
      </c>
      <c r="M44" s="141"/>
      <c r="N44" s="135">
        <v>200001040</v>
      </c>
      <c r="O44" s="136" t="s">
        <v>103</v>
      </c>
      <c r="P44" s="96" t="s">
        <v>32</v>
      </c>
      <c r="Q44" s="155"/>
      <c r="R44" s="159"/>
    </row>
    <row r="45" ht="12" customHeight="1" spans="1:18">
      <c r="A45" s="103"/>
      <c r="B45" s="95" t="s">
        <v>104</v>
      </c>
      <c r="C45" s="66" t="s">
        <v>72</v>
      </c>
      <c r="D45" s="69"/>
      <c r="E45" s="70">
        <f>D44</f>
        <v>0</v>
      </c>
      <c r="F45" s="97"/>
      <c r="G45" s="102"/>
      <c r="H45" s="69">
        <f t="shared" si="3"/>
        <v>0</v>
      </c>
      <c r="I45" s="69">
        <f t="shared" si="3"/>
        <v>0</v>
      </c>
      <c r="J45" s="69"/>
      <c r="K45" s="69">
        <f t="shared" si="4"/>
        <v>0</v>
      </c>
      <c r="L45" s="69">
        <f t="shared" si="5"/>
        <v>0</v>
      </c>
      <c r="M45" s="141"/>
      <c r="N45" s="135">
        <v>500002054</v>
      </c>
      <c r="O45" s="136" t="s">
        <v>105</v>
      </c>
      <c r="P45" s="96" t="s">
        <v>27</v>
      </c>
      <c r="Q45" s="155"/>
      <c r="R45" s="159"/>
    </row>
    <row r="46" ht="12" customHeight="1" spans="1:18">
      <c r="A46" s="103"/>
      <c r="B46" s="95" t="s">
        <v>106</v>
      </c>
      <c r="C46" s="103" t="s">
        <v>72</v>
      </c>
      <c r="D46" s="69">
        <f>E47</f>
        <v>0</v>
      </c>
      <c r="E46" s="69"/>
      <c r="F46" s="97"/>
      <c r="G46" s="97"/>
      <c r="H46" s="69">
        <f t="shared" si="3"/>
        <v>0</v>
      </c>
      <c r="I46" s="69">
        <f t="shared" si="3"/>
        <v>0</v>
      </c>
      <c r="J46" s="69"/>
      <c r="K46" s="69">
        <f t="shared" si="4"/>
        <v>0</v>
      </c>
      <c r="L46" s="69">
        <f t="shared" si="5"/>
        <v>0</v>
      </c>
      <c r="M46" s="141"/>
      <c r="N46" s="135">
        <v>200001041</v>
      </c>
      <c r="O46" s="136" t="s">
        <v>107</v>
      </c>
      <c r="P46" s="96" t="s">
        <v>32</v>
      </c>
      <c r="Q46" s="155"/>
      <c r="R46" s="159"/>
    </row>
    <row r="47" ht="12" customHeight="1" spans="1:18">
      <c r="A47" s="103"/>
      <c r="B47" s="95" t="s">
        <v>108</v>
      </c>
      <c r="C47" s="66" t="s">
        <v>72</v>
      </c>
      <c r="D47" s="69"/>
      <c r="E47" s="69">
        <f>'BoM AE'!E32</f>
        <v>0</v>
      </c>
      <c r="F47" s="97"/>
      <c r="G47" s="97"/>
      <c r="H47" s="69">
        <f t="shared" si="3"/>
        <v>0</v>
      </c>
      <c r="I47" s="69">
        <f t="shared" si="3"/>
        <v>0</v>
      </c>
      <c r="J47" s="69"/>
      <c r="K47" s="69">
        <f t="shared" si="4"/>
        <v>0</v>
      </c>
      <c r="L47" s="69">
        <f t="shared" si="5"/>
        <v>0</v>
      </c>
      <c r="M47" s="141"/>
      <c r="N47" s="135">
        <v>500002055</v>
      </c>
      <c r="O47" s="136" t="s">
        <v>109</v>
      </c>
      <c r="P47" s="96" t="s">
        <v>27</v>
      </c>
      <c r="Q47" s="155"/>
      <c r="R47" s="159"/>
    </row>
    <row r="48" ht="12" customHeight="1" spans="1:18">
      <c r="A48" s="103"/>
      <c r="B48" s="95" t="s">
        <v>110</v>
      </c>
      <c r="C48" s="103" t="s">
        <v>72</v>
      </c>
      <c r="D48" s="69">
        <f>E49</f>
        <v>0</v>
      </c>
      <c r="E48" s="69"/>
      <c r="F48" s="97"/>
      <c r="G48" s="97"/>
      <c r="H48" s="69">
        <f t="shared" si="3"/>
        <v>0</v>
      </c>
      <c r="I48" s="69">
        <f t="shared" si="3"/>
        <v>0</v>
      </c>
      <c r="J48" s="69"/>
      <c r="K48" s="69">
        <f t="shared" si="4"/>
        <v>0</v>
      </c>
      <c r="L48" s="69">
        <f t="shared" si="5"/>
        <v>0</v>
      </c>
      <c r="M48" s="141"/>
      <c r="N48" s="135">
        <v>200001042</v>
      </c>
      <c r="O48" s="136" t="s">
        <v>111</v>
      </c>
      <c r="P48" s="96" t="s">
        <v>32</v>
      </c>
      <c r="Q48" s="155"/>
      <c r="R48" s="159"/>
    </row>
    <row r="49" ht="12" customHeight="1" spans="1:18">
      <c r="A49" s="103"/>
      <c r="B49" s="95" t="s">
        <v>112</v>
      </c>
      <c r="C49" s="66" t="s">
        <v>72</v>
      </c>
      <c r="D49" s="69"/>
      <c r="E49" s="69">
        <f>'BoM AE'!E33</f>
        <v>0</v>
      </c>
      <c r="F49" s="97"/>
      <c r="G49" s="97"/>
      <c r="H49" s="69">
        <f t="shared" si="3"/>
        <v>0</v>
      </c>
      <c r="I49" s="69">
        <f t="shared" si="3"/>
        <v>0</v>
      </c>
      <c r="J49" s="69"/>
      <c r="K49" s="69">
        <f t="shared" si="4"/>
        <v>0</v>
      </c>
      <c r="L49" s="69">
        <f t="shared" si="5"/>
        <v>0</v>
      </c>
      <c r="M49" s="141"/>
      <c r="N49" s="135">
        <v>500002062</v>
      </c>
      <c r="O49" s="136" t="s">
        <v>113</v>
      </c>
      <c r="P49" s="96" t="s">
        <v>27</v>
      </c>
      <c r="Q49" s="155"/>
      <c r="R49" s="159"/>
    </row>
    <row r="50" ht="12" customHeight="1" spans="1:18">
      <c r="A50" s="103"/>
      <c r="B50" s="95" t="s">
        <v>114</v>
      </c>
      <c r="C50" s="103" t="s">
        <v>72</v>
      </c>
      <c r="D50" s="69"/>
      <c r="E50" s="69"/>
      <c r="F50" s="97"/>
      <c r="G50" s="97"/>
      <c r="H50" s="69">
        <f t="shared" si="3"/>
        <v>0</v>
      </c>
      <c r="I50" s="69">
        <f t="shared" si="3"/>
        <v>0</v>
      </c>
      <c r="J50" s="69"/>
      <c r="K50" s="69">
        <f t="shared" si="4"/>
        <v>0</v>
      </c>
      <c r="L50" s="69">
        <f t="shared" si="5"/>
        <v>0</v>
      </c>
      <c r="M50" s="141"/>
      <c r="N50" s="135">
        <v>200001043</v>
      </c>
      <c r="O50" s="136" t="s">
        <v>115</v>
      </c>
      <c r="P50" s="96" t="s">
        <v>32</v>
      </c>
      <c r="Q50" s="155"/>
      <c r="R50" s="159"/>
    </row>
    <row r="51" ht="12" customHeight="1" spans="1:18">
      <c r="A51" s="103"/>
      <c r="B51" s="95" t="s">
        <v>116</v>
      </c>
      <c r="C51" s="66" t="s">
        <v>72</v>
      </c>
      <c r="D51" s="69"/>
      <c r="E51" s="69"/>
      <c r="F51" s="97"/>
      <c r="G51" s="97"/>
      <c r="H51" s="69">
        <f t="shared" si="3"/>
        <v>0</v>
      </c>
      <c r="I51" s="69">
        <f t="shared" si="3"/>
        <v>0</v>
      </c>
      <c r="J51" s="69"/>
      <c r="K51" s="69">
        <f t="shared" si="4"/>
        <v>0</v>
      </c>
      <c r="L51" s="69">
        <f t="shared" si="5"/>
        <v>0</v>
      </c>
      <c r="M51" s="141"/>
      <c r="N51" s="135">
        <v>500002073</v>
      </c>
      <c r="O51" s="136" t="s">
        <v>117</v>
      </c>
      <c r="P51" s="96" t="s">
        <v>27</v>
      </c>
      <c r="Q51" s="155"/>
      <c r="R51" s="159"/>
    </row>
    <row r="52" ht="12" customHeight="1" spans="1:18">
      <c r="A52" s="103"/>
      <c r="B52" s="95" t="s">
        <v>118</v>
      </c>
      <c r="C52" s="103" t="s">
        <v>72</v>
      </c>
      <c r="D52" s="69"/>
      <c r="E52" s="69"/>
      <c r="F52" s="97"/>
      <c r="G52" s="97"/>
      <c r="H52" s="69">
        <f t="shared" si="3"/>
        <v>0</v>
      </c>
      <c r="I52" s="69">
        <f t="shared" si="3"/>
        <v>0</v>
      </c>
      <c r="J52" s="69"/>
      <c r="K52" s="69">
        <f t="shared" si="4"/>
        <v>0</v>
      </c>
      <c r="L52" s="69">
        <f t="shared" si="5"/>
        <v>0</v>
      </c>
      <c r="M52" s="141"/>
      <c r="N52" s="135">
        <v>200001044</v>
      </c>
      <c r="O52" s="136" t="s">
        <v>119</v>
      </c>
      <c r="P52" s="96" t="s">
        <v>32</v>
      </c>
      <c r="Q52" s="155"/>
      <c r="R52" s="159"/>
    </row>
    <row r="53" ht="12" customHeight="1" spans="1:18">
      <c r="A53" s="103"/>
      <c r="B53" s="104" t="s">
        <v>120</v>
      </c>
      <c r="C53" s="66" t="s">
        <v>72</v>
      </c>
      <c r="D53" s="69"/>
      <c r="E53" s="69"/>
      <c r="F53" s="97"/>
      <c r="G53" s="97"/>
      <c r="H53" s="69">
        <f t="shared" si="3"/>
        <v>0</v>
      </c>
      <c r="I53" s="69">
        <f t="shared" si="3"/>
        <v>0</v>
      </c>
      <c r="J53" s="69"/>
      <c r="K53" s="69">
        <f t="shared" si="4"/>
        <v>0</v>
      </c>
      <c r="L53" s="69">
        <f t="shared" si="5"/>
        <v>0</v>
      </c>
      <c r="M53" s="141"/>
      <c r="N53" s="135">
        <v>500002084</v>
      </c>
      <c r="O53" s="136" t="s">
        <v>121</v>
      </c>
      <c r="P53" s="96" t="s">
        <v>27</v>
      </c>
      <c r="Q53" s="155"/>
      <c r="R53" s="159"/>
    </row>
    <row r="54" ht="12" customHeight="1" spans="1:18">
      <c r="A54" s="103"/>
      <c r="B54" s="99" t="s">
        <v>122</v>
      </c>
      <c r="C54" s="105" t="s">
        <v>123</v>
      </c>
      <c r="D54" s="69"/>
      <c r="E54" s="69"/>
      <c r="F54" s="97"/>
      <c r="G54" s="97"/>
      <c r="H54" s="69"/>
      <c r="I54" s="69"/>
      <c r="J54" s="69"/>
      <c r="K54" s="69"/>
      <c r="L54" s="69"/>
      <c r="M54" s="141"/>
      <c r="N54" s="100">
        <v>200002672</v>
      </c>
      <c r="O54" s="99" t="s">
        <v>124</v>
      </c>
      <c r="P54" s="142" t="s">
        <v>32</v>
      </c>
      <c r="Q54" s="155"/>
      <c r="R54" s="159"/>
    </row>
    <row r="55" ht="12" customHeight="1" spans="1:18">
      <c r="A55" s="103"/>
      <c r="B55" s="99" t="s">
        <v>125</v>
      </c>
      <c r="C55" s="105" t="s">
        <v>123</v>
      </c>
      <c r="D55" s="69"/>
      <c r="E55" s="69"/>
      <c r="F55" s="97"/>
      <c r="G55" s="97"/>
      <c r="H55" s="69"/>
      <c r="I55" s="69"/>
      <c r="J55" s="69"/>
      <c r="K55" s="69"/>
      <c r="L55" s="69"/>
      <c r="M55" s="141"/>
      <c r="N55" s="100">
        <v>500004726</v>
      </c>
      <c r="O55" s="99" t="s">
        <v>126</v>
      </c>
      <c r="P55" s="142" t="s">
        <v>27</v>
      </c>
      <c r="Q55" s="155"/>
      <c r="R55" s="159"/>
    </row>
    <row r="56" ht="12" customHeight="1" spans="1:18">
      <c r="A56" s="66" t="s">
        <v>127</v>
      </c>
      <c r="B56" s="106" t="s">
        <v>128</v>
      </c>
      <c r="C56" s="68"/>
      <c r="D56" s="69"/>
      <c r="E56" s="69"/>
      <c r="F56" s="97"/>
      <c r="G56" s="97"/>
      <c r="H56" s="69">
        <f t="shared" si="3"/>
        <v>0</v>
      </c>
      <c r="I56" s="69">
        <f t="shared" si="3"/>
        <v>0</v>
      </c>
      <c r="J56" s="69"/>
      <c r="K56" s="69">
        <f t="shared" si="4"/>
        <v>0</v>
      </c>
      <c r="L56" s="69">
        <f t="shared" si="5"/>
        <v>0</v>
      </c>
      <c r="M56" s="133"/>
      <c r="N56" s="66"/>
      <c r="O56" s="66"/>
      <c r="P56" s="96"/>
      <c r="Q56" s="155"/>
      <c r="R56" s="147"/>
    </row>
    <row r="57" ht="12" customHeight="1" spans="1:18">
      <c r="A57" s="66"/>
      <c r="B57" s="107" t="s">
        <v>129</v>
      </c>
      <c r="C57" s="68" t="s">
        <v>123</v>
      </c>
      <c r="D57" s="69"/>
      <c r="E57" s="69"/>
      <c r="F57" s="97"/>
      <c r="G57" s="97"/>
      <c r="H57" s="69">
        <f t="shared" si="3"/>
        <v>0</v>
      </c>
      <c r="I57" s="69">
        <f t="shared" si="3"/>
        <v>0</v>
      </c>
      <c r="J57" s="69"/>
      <c r="K57" s="69">
        <f t="shared" si="4"/>
        <v>0</v>
      </c>
      <c r="L57" s="69">
        <f t="shared" si="5"/>
        <v>0</v>
      </c>
      <c r="M57" s="133"/>
      <c r="N57" s="143">
        <v>100000191</v>
      </c>
      <c r="O57" s="107" t="s">
        <v>130</v>
      </c>
      <c r="P57" s="96" t="s">
        <v>32</v>
      </c>
      <c r="Q57" s="155"/>
      <c r="R57" s="147"/>
    </row>
    <row r="58" ht="12" customHeight="1" spans="1:18">
      <c r="A58" s="66"/>
      <c r="B58" s="107" t="s">
        <v>131</v>
      </c>
      <c r="C58" s="68" t="s">
        <v>123</v>
      </c>
      <c r="D58" s="69"/>
      <c r="E58" s="69"/>
      <c r="F58" s="71"/>
      <c r="G58" s="108"/>
      <c r="H58" s="69">
        <f t="shared" si="3"/>
        <v>0</v>
      </c>
      <c r="I58" s="69">
        <f t="shared" si="3"/>
        <v>0</v>
      </c>
      <c r="J58" s="69"/>
      <c r="K58" s="69">
        <f t="shared" si="4"/>
        <v>0</v>
      </c>
      <c r="L58" s="69">
        <f t="shared" si="5"/>
        <v>0</v>
      </c>
      <c r="M58" s="133"/>
      <c r="N58" s="143">
        <v>100000826</v>
      </c>
      <c r="O58" s="107" t="s">
        <v>132</v>
      </c>
      <c r="P58" s="96" t="s">
        <v>32</v>
      </c>
      <c r="Q58" s="155"/>
      <c r="R58" s="147"/>
    </row>
    <row r="59" ht="12" customHeight="1" spans="1:18">
      <c r="A59" s="66" t="s">
        <v>133</v>
      </c>
      <c r="B59" s="106" t="s">
        <v>134</v>
      </c>
      <c r="C59" s="68"/>
      <c r="D59" s="69"/>
      <c r="E59" s="69"/>
      <c r="F59" s="97"/>
      <c r="G59" s="97"/>
      <c r="H59" s="69">
        <f t="shared" si="3"/>
        <v>0</v>
      </c>
      <c r="I59" s="69">
        <f t="shared" si="3"/>
        <v>0</v>
      </c>
      <c r="J59" s="69"/>
      <c r="K59" s="69">
        <f t="shared" si="4"/>
        <v>0</v>
      </c>
      <c r="L59" s="69">
        <f t="shared" si="5"/>
        <v>0</v>
      </c>
      <c r="M59" s="133"/>
      <c r="N59" s="66"/>
      <c r="O59" s="66"/>
      <c r="P59" s="96"/>
      <c r="Q59" s="155"/>
      <c r="R59" s="147"/>
    </row>
    <row r="60" ht="12" customHeight="1" spans="1:18">
      <c r="A60" s="66"/>
      <c r="B60" s="107" t="s">
        <v>135</v>
      </c>
      <c r="C60" s="68" t="s">
        <v>123</v>
      </c>
      <c r="D60" s="69"/>
      <c r="E60" s="69"/>
      <c r="F60" s="97"/>
      <c r="G60" s="97"/>
      <c r="H60" s="69">
        <f t="shared" si="3"/>
        <v>0</v>
      </c>
      <c r="I60" s="69">
        <f t="shared" si="3"/>
        <v>0</v>
      </c>
      <c r="J60" s="69"/>
      <c r="K60" s="69">
        <f t="shared" si="4"/>
        <v>0</v>
      </c>
      <c r="L60" s="69">
        <f t="shared" si="5"/>
        <v>0</v>
      </c>
      <c r="M60" s="133"/>
      <c r="N60" s="135">
        <v>200001045</v>
      </c>
      <c r="O60" s="136" t="s">
        <v>136</v>
      </c>
      <c r="P60" s="96" t="s">
        <v>32</v>
      </c>
      <c r="Q60" s="155"/>
      <c r="R60" s="147"/>
    </row>
    <row r="61" ht="12" customHeight="1" spans="1:18">
      <c r="A61" s="66"/>
      <c r="B61" s="107" t="s">
        <v>137</v>
      </c>
      <c r="C61" s="68" t="s">
        <v>123</v>
      </c>
      <c r="D61" s="69"/>
      <c r="E61" s="69"/>
      <c r="F61" s="71"/>
      <c r="G61" s="108"/>
      <c r="H61" s="69">
        <f t="shared" si="3"/>
        <v>0</v>
      </c>
      <c r="I61" s="69">
        <f t="shared" si="3"/>
        <v>0</v>
      </c>
      <c r="J61" s="69"/>
      <c r="K61" s="69">
        <f t="shared" si="4"/>
        <v>0</v>
      </c>
      <c r="L61" s="69">
        <f t="shared" si="5"/>
        <v>0</v>
      </c>
      <c r="M61" s="133"/>
      <c r="N61" s="135">
        <v>200001046</v>
      </c>
      <c r="O61" s="136" t="s">
        <v>138</v>
      </c>
      <c r="P61" s="96" t="s">
        <v>32</v>
      </c>
      <c r="Q61" s="155"/>
      <c r="R61" s="147"/>
    </row>
    <row r="62" ht="12" customHeight="1" spans="1:18">
      <c r="A62" s="66" t="s">
        <v>139</v>
      </c>
      <c r="B62" s="106" t="s">
        <v>140</v>
      </c>
      <c r="C62" s="68"/>
      <c r="D62" s="69"/>
      <c r="E62" s="69"/>
      <c r="F62" s="97"/>
      <c r="G62" s="97"/>
      <c r="H62" s="69">
        <f t="shared" si="3"/>
        <v>0</v>
      </c>
      <c r="I62" s="69">
        <f t="shared" si="3"/>
        <v>0</v>
      </c>
      <c r="J62" s="69"/>
      <c r="K62" s="69">
        <f t="shared" si="4"/>
        <v>0</v>
      </c>
      <c r="L62" s="69">
        <f t="shared" si="5"/>
        <v>0</v>
      </c>
      <c r="M62" s="133"/>
      <c r="N62" s="144"/>
      <c r="O62" s="66"/>
      <c r="P62" s="96"/>
      <c r="Q62" s="155"/>
      <c r="R62" s="147"/>
    </row>
    <row r="63" ht="12" customHeight="1" spans="1:18">
      <c r="A63" s="66"/>
      <c r="B63" s="95" t="s">
        <v>141</v>
      </c>
      <c r="C63" s="68" t="s">
        <v>123</v>
      </c>
      <c r="D63" s="70">
        <f>'BoM AE'!C35</f>
        <v>0</v>
      </c>
      <c r="E63" s="69"/>
      <c r="F63" s="71"/>
      <c r="G63" s="97"/>
      <c r="H63" s="69">
        <f t="shared" si="3"/>
        <v>0</v>
      </c>
      <c r="I63" s="69">
        <f t="shared" si="3"/>
        <v>0</v>
      </c>
      <c r="J63" s="69"/>
      <c r="K63" s="69">
        <f t="shared" si="4"/>
        <v>0</v>
      </c>
      <c r="L63" s="69">
        <f t="shared" si="5"/>
        <v>0</v>
      </c>
      <c r="M63" s="133"/>
      <c r="N63" s="135">
        <v>200001047</v>
      </c>
      <c r="O63" s="136" t="s">
        <v>142</v>
      </c>
      <c r="P63" s="96" t="s">
        <v>32</v>
      </c>
      <c r="Q63" s="155"/>
      <c r="R63" s="147"/>
    </row>
    <row r="64" ht="12" customHeight="1" spans="1:18">
      <c r="A64" s="66"/>
      <c r="B64" s="95" t="s">
        <v>143</v>
      </c>
      <c r="C64" s="68" t="s">
        <v>123</v>
      </c>
      <c r="D64" s="69"/>
      <c r="E64" s="70">
        <f>D63</f>
        <v>0</v>
      </c>
      <c r="F64" s="97"/>
      <c r="G64" s="71"/>
      <c r="H64" s="69">
        <f t="shared" si="3"/>
        <v>0</v>
      </c>
      <c r="I64" s="69">
        <f t="shared" si="3"/>
        <v>0</v>
      </c>
      <c r="J64" s="69"/>
      <c r="K64" s="69">
        <f t="shared" si="4"/>
        <v>0</v>
      </c>
      <c r="L64" s="69">
        <f t="shared" si="5"/>
        <v>0</v>
      </c>
      <c r="M64" s="145">
        <v>500002142</v>
      </c>
      <c r="N64" s="145">
        <v>500002142</v>
      </c>
      <c r="O64" s="136" t="s">
        <v>144</v>
      </c>
      <c r="P64" s="96" t="s">
        <v>27</v>
      </c>
      <c r="Q64" s="155"/>
      <c r="R64" s="147"/>
    </row>
    <row r="65" ht="12" customHeight="1" spans="1:18">
      <c r="A65" s="66"/>
      <c r="B65" s="95" t="s">
        <v>145</v>
      </c>
      <c r="C65" s="68" t="s">
        <v>123</v>
      </c>
      <c r="D65" s="69"/>
      <c r="E65" s="69"/>
      <c r="F65" s="97"/>
      <c r="G65" s="97"/>
      <c r="H65" s="69">
        <f t="shared" si="3"/>
        <v>0</v>
      </c>
      <c r="I65" s="69">
        <f t="shared" si="3"/>
        <v>0</v>
      </c>
      <c r="J65" s="69"/>
      <c r="K65" s="69">
        <f t="shared" si="4"/>
        <v>0</v>
      </c>
      <c r="L65" s="69">
        <f t="shared" si="5"/>
        <v>0</v>
      </c>
      <c r="M65" s="175"/>
      <c r="N65" s="135">
        <v>100000824</v>
      </c>
      <c r="O65" s="136" t="s">
        <v>146</v>
      </c>
      <c r="P65" s="96" t="s">
        <v>32</v>
      </c>
      <c r="Q65" s="155"/>
      <c r="R65" s="147"/>
    </row>
    <row r="66" ht="12" customHeight="1" spans="1:18">
      <c r="A66" s="66"/>
      <c r="B66" s="95" t="s">
        <v>147</v>
      </c>
      <c r="C66" s="68" t="s">
        <v>123</v>
      </c>
      <c r="D66" s="69"/>
      <c r="E66" s="69">
        <f>'BoM AE'!E94</f>
        <v>0</v>
      </c>
      <c r="F66" s="97"/>
      <c r="G66" s="97"/>
      <c r="H66" s="69">
        <f t="shared" si="3"/>
        <v>0</v>
      </c>
      <c r="I66" s="69">
        <f t="shared" si="3"/>
        <v>0</v>
      </c>
      <c r="J66" s="69"/>
      <c r="K66" s="69">
        <f t="shared" si="4"/>
        <v>0</v>
      </c>
      <c r="L66" s="69">
        <f t="shared" si="5"/>
        <v>0</v>
      </c>
      <c r="M66" s="175"/>
      <c r="N66" s="135">
        <v>500002097</v>
      </c>
      <c r="O66" s="136" t="s">
        <v>144</v>
      </c>
      <c r="P66" s="96" t="s">
        <v>27</v>
      </c>
      <c r="Q66" s="155"/>
      <c r="R66" s="147"/>
    </row>
    <row r="67" ht="12" customHeight="1" spans="1:18">
      <c r="A67" s="66"/>
      <c r="B67" s="99" t="s">
        <v>148</v>
      </c>
      <c r="C67" s="160" t="s">
        <v>123</v>
      </c>
      <c r="D67" s="69"/>
      <c r="E67" s="69"/>
      <c r="F67" s="97"/>
      <c r="G67" s="97"/>
      <c r="H67" s="69"/>
      <c r="I67" s="69"/>
      <c r="J67" s="69"/>
      <c r="K67" s="69"/>
      <c r="L67" s="69"/>
      <c r="M67" s="175"/>
      <c r="N67" s="100">
        <v>500004720</v>
      </c>
      <c r="O67" s="99" t="s">
        <v>149</v>
      </c>
      <c r="P67" s="176" t="s">
        <v>27</v>
      </c>
      <c r="Q67" s="155"/>
      <c r="R67" s="147"/>
    </row>
    <row r="68" ht="12" customHeight="1" spans="1:18">
      <c r="A68" s="66"/>
      <c r="B68" s="99" t="s">
        <v>150</v>
      </c>
      <c r="C68" s="160" t="s">
        <v>123</v>
      </c>
      <c r="D68" s="69"/>
      <c r="E68" s="69"/>
      <c r="F68" s="97"/>
      <c r="G68" s="97"/>
      <c r="H68" s="69"/>
      <c r="I68" s="69"/>
      <c r="J68" s="69"/>
      <c r="K68" s="69"/>
      <c r="L68" s="69"/>
      <c r="M68" s="175"/>
      <c r="N68" s="100">
        <v>500004721</v>
      </c>
      <c r="O68" s="99" t="s">
        <v>151</v>
      </c>
      <c r="P68" s="176" t="s">
        <v>27</v>
      </c>
      <c r="Q68" s="155"/>
      <c r="R68" s="147"/>
    </row>
    <row r="69" ht="12" customHeight="1" spans="1:18">
      <c r="A69" s="66"/>
      <c r="B69" s="99" t="s">
        <v>152</v>
      </c>
      <c r="C69" s="160" t="s">
        <v>123</v>
      </c>
      <c r="D69" s="69"/>
      <c r="E69" s="69"/>
      <c r="F69" s="97"/>
      <c r="G69" s="97"/>
      <c r="H69" s="69"/>
      <c r="I69" s="69"/>
      <c r="J69" s="69"/>
      <c r="K69" s="69"/>
      <c r="L69" s="69"/>
      <c r="M69" s="175"/>
      <c r="N69" s="100">
        <v>200002673</v>
      </c>
      <c r="O69" s="99" t="s">
        <v>153</v>
      </c>
      <c r="P69" s="176" t="s">
        <v>32</v>
      </c>
      <c r="Q69" s="155"/>
      <c r="R69" s="147"/>
    </row>
    <row r="70" ht="12" customHeight="1" spans="1:18">
      <c r="A70" s="66"/>
      <c r="B70" s="99" t="s">
        <v>154</v>
      </c>
      <c r="C70" s="160" t="s">
        <v>123</v>
      </c>
      <c r="D70" s="69"/>
      <c r="E70" s="69"/>
      <c r="F70" s="97"/>
      <c r="G70" s="97"/>
      <c r="H70" s="69"/>
      <c r="I70" s="69"/>
      <c r="J70" s="69"/>
      <c r="K70" s="69"/>
      <c r="L70" s="69"/>
      <c r="M70" s="175"/>
      <c r="N70" s="100">
        <v>500004727</v>
      </c>
      <c r="O70" s="99" t="s">
        <v>155</v>
      </c>
      <c r="P70" s="176" t="s">
        <v>27</v>
      </c>
      <c r="Q70" s="155"/>
      <c r="R70" s="147"/>
    </row>
    <row r="71" ht="12" customHeight="1" spans="1:18">
      <c r="A71" s="66"/>
      <c r="B71" s="99" t="s">
        <v>156</v>
      </c>
      <c r="C71" s="160" t="s">
        <v>123</v>
      </c>
      <c r="D71" s="69"/>
      <c r="E71" s="69"/>
      <c r="F71" s="97"/>
      <c r="G71" s="97"/>
      <c r="H71" s="69"/>
      <c r="I71" s="69"/>
      <c r="J71" s="69"/>
      <c r="K71" s="69"/>
      <c r="L71" s="69"/>
      <c r="M71" s="175"/>
      <c r="N71" s="100">
        <v>200002674</v>
      </c>
      <c r="O71" s="99" t="s">
        <v>157</v>
      </c>
      <c r="P71" s="176" t="s">
        <v>32</v>
      </c>
      <c r="Q71" s="155"/>
      <c r="R71" s="147"/>
    </row>
    <row r="72" ht="12" customHeight="1" spans="1:18">
      <c r="A72" s="66"/>
      <c r="B72" s="99" t="s">
        <v>158</v>
      </c>
      <c r="C72" s="160" t="s">
        <v>123</v>
      </c>
      <c r="D72" s="69"/>
      <c r="E72" s="69"/>
      <c r="F72" s="97"/>
      <c r="G72" s="97"/>
      <c r="H72" s="69"/>
      <c r="I72" s="69"/>
      <c r="J72" s="69"/>
      <c r="K72" s="69"/>
      <c r="L72" s="69"/>
      <c r="M72" s="175"/>
      <c r="N72" s="100">
        <v>500004728</v>
      </c>
      <c r="O72" s="99" t="s">
        <v>159</v>
      </c>
      <c r="P72" s="176" t="s">
        <v>27</v>
      </c>
      <c r="Q72" s="155"/>
      <c r="R72" s="147"/>
    </row>
    <row r="73" ht="12" customHeight="1" spans="1:18">
      <c r="A73" s="66" t="s">
        <v>160</v>
      </c>
      <c r="B73" s="95" t="s">
        <v>161</v>
      </c>
      <c r="C73" s="68" t="s">
        <v>123</v>
      </c>
      <c r="D73" s="69"/>
      <c r="E73" s="69"/>
      <c r="F73" s="97"/>
      <c r="G73" s="97"/>
      <c r="H73" s="69">
        <f t="shared" si="3"/>
        <v>0</v>
      </c>
      <c r="I73" s="69">
        <f t="shared" si="3"/>
        <v>0</v>
      </c>
      <c r="J73" s="69"/>
      <c r="K73" s="69">
        <f t="shared" si="4"/>
        <v>0</v>
      </c>
      <c r="L73" s="69">
        <f t="shared" si="5"/>
        <v>0</v>
      </c>
      <c r="M73" s="175"/>
      <c r="N73" s="135">
        <v>200000165</v>
      </c>
      <c r="O73" s="136" t="s">
        <v>162</v>
      </c>
      <c r="P73" s="96" t="s">
        <v>32</v>
      </c>
      <c r="Q73" s="155"/>
      <c r="R73" s="147"/>
    </row>
    <row r="74" ht="12" customHeight="1" spans="1:18">
      <c r="A74" s="66"/>
      <c r="B74" s="95" t="s">
        <v>163</v>
      </c>
      <c r="C74" s="68" t="s">
        <v>123</v>
      </c>
      <c r="D74" s="69"/>
      <c r="E74" s="69"/>
      <c r="F74" s="97"/>
      <c r="G74" s="97"/>
      <c r="H74" s="69">
        <f t="shared" ref="H74:I78" si="6">D74*F74</f>
        <v>0</v>
      </c>
      <c r="I74" s="69">
        <f t="shared" si="6"/>
        <v>0</v>
      </c>
      <c r="J74" s="69"/>
      <c r="K74" s="69">
        <f t="shared" si="4"/>
        <v>0</v>
      </c>
      <c r="L74" s="69">
        <f t="shared" si="5"/>
        <v>0</v>
      </c>
      <c r="M74" s="175"/>
      <c r="N74" s="135">
        <v>500002113</v>
      </c>
      <c r="O74" s="136" t="s">
        <v>164</v>
      </c>
      <c r="P74" s="96" t="s">
        <v>27</v>
      </c>
      <c r="Q74" s="155"/>
      <c r="R74" s="147"/>
    </row>
    <row r="75" ht="12" customHeight="1" spans="1:18">
      <c r="A75" s="66" t="s">
        <v>165</v>
      </c>
      <c r="B75" s="95" t="s">
        <v>166</v>
      </c>
      <c r="C75" s="68" t="s">
        <v>123</v>
      </c>
      <c r="D75" s="69"/>
      <c r="E75" s="69"/>
      <c r="F75" s="97"/>
      <c r="G75" s="97"/>
      <c r="H75" s="69">
        <f t="shared" si="6"/>
        <v>0</v>
      </c>
      <c r="I75" s="69">
        <f t="shared" si="6"/>
        <v>0</v>
      </c>
      <c r="J75" s="69"/>
      <c r="K75" s="69">
        <f t="shared" si="4"/>
        <v>0</v>
      </c>
      <c r="L75" s="69">
        <f t="shared" si="5"/>
        <v>0</v>
      </c>
      <c r="M75" s="133"/>
      <c r="N75" s="144"/>
      <c r="O75" s="125"/>
      <c r="P75" s="133"/>
      <c r="Q75" s="155"/>
      <c r="R75" s="147"/>
    </row>
    <row r="76" ht="12" customHeight="1" spans="1:18">
      <c r="A76" s="144"/>
      <c r="B76" s="161" t="s">
        <v>167</v>
      </c>
      <c r="C76" s="162" t="s">
        <v>123</v>
      </c>
      <c r="D76" s="69"/>
      <c r="E76" s="69"/>
      <c r="F76" s="97"/>
      <c r="G76" s="97"/>
      <c r="H76" s="69">
        <f t="shared" si="6"/>
        <v>0</v>
      </c>
      <c r="I76" s="69">
        <f t="shared" si="6"/>
        <v>0</v>
      </c>
      <c r="J76" s="69"/>
      <c r="K76" s="69">
        <f t="shared" si="4"/>
        <v>0</v>
      </c>
      <c r="L76" s="69">
        <f t="shared" si="5"/>
        <v>0</v>
      </c>
      <c r="M76" s="133"/>
      <c r="N76" s="177">
        <v>200000182</v>
      </c>
      <c r="O76" s="106" t="s">
        <v>168</v>
      </c>
      <c r="P76" s="96" t="s">
        <v>32</v>
      </c>
      <c r="Q76" s="155"/>
      <c r="R76" s="147"/>
    </row>
    <row r="77" ht="12" customHeight="1" spans="1:18">
      <c r="A77" s="144"/>
      <c r="B77" s="161" t="s">
        <v>169</v>
      </c>
      <c r="C77" s="162" t="s">
        <v>123</v>
      </c>
      <c r="D77" s="69"/>
      <c r="E77" s="69"/>
      <c r="F77" s="97"/>
      <c r="G77" s="97"/>
      <c r="H77" s="69">
        <f t="shared" si="6"/>
        <v>0</v>
      </c>
      <c r="I77" s="69">
        <f t="shared" si="6"/>
        <v>0</v>
      </c>
      <c r="J77" s="69"/>
      <c r="K77" s="69">
        <f t="shared" si="4"/>
        <v>0</v>
      </c>
      <c r="L77" s="69">
        <f t="shared" si="5"/>
        <v>0</v>
      </c>
      <c r="M77" s="133"/>
      <c r="N77" s="135">
        <v>200001048</v>
      </c>
      <c r="O77" s="136" t="s">
        <v>170</v>
      </c>
      <c r="P77" s="96" t="s">
        <v>32</v>
      </c>
      <c r="Q77" s="155"/>
      <c r="R77" s="147"/>
    </row>
    <row r="78" ht="12" customHeight="1" spans="1:18">
      <c r="A78" s="144"/>
      <c r="B78" s="161" t="s">
        <v>171</v>
      </c>
      <c r="C78" s="162" t="s">
        <v>123</v>
      </c>
      <c r="D78" s="69"/>
      <c r="E78" s="69"/>
      <c r="F78" s="97"/>
      <c r="G78" s="97"/>
      <c r="H78" s="69">
        <f t="shared" si="6"/>
        <v>0</v>
      </c>
      <c r="I78" s="69">
        <f t="shared" si="6"/>
        <v>0</v>
      </c>
      <c r="J78" s="69"/>
      <c r="K78" s="69">
        <f t="shared" si="4"/>
        <v>0</v>
      </c>
      <c r="L78" s="69">
        <f t="shared" si="5"/>
        <v>0</v>
      </c>
      <c r="M78" s="133"/>
      <c r="N78" s="177">
        <v>200000159</v>
      </c>
      <c r="O78" s="161" t="s">
        <v>172</v>
      </c>
      <c r="P78" s="96" t="s">
        <v>32</v>
      </c>
      <c r="Q78" s="155"/>
      <c r="R78" s="147"/>
    </row>
    <row r="79" ht="12" customHeight="1" spans="1:18">
      <c r="A79" s="144"/>
      <c r="B79" s="161" t="s">
        <v>173</v>
      </c>
      <c r="C79" s="162" t="s">
        <v>123</v>
      </c>
      <c r="D79" s="69"/>
      <c r="E79" s="69"/>
      <c r="F79" s="97"/>
      <c r="G79" s="97"/>
      <c r="H79" s="69" t="s">
        <v>174</v>
      </c>
      <c r="I79" s="69" t="s">
        <v>174</v>
      </c>
      <c r="J79" s="69"/>
      <c r="K79" s="69"/>
      <c r="L79" s="69"/>
      <c r="M79" s="133"/>
      <c r="N79" s="177">
        <v>200000174</v>
      </c>
      <c r="O79" s="161" t="s">
        <v>175</v>
      </c>
      <c r="P79" s="96"/>
      <c r="Q79" s="155"/>
      <c r="R79" s="147"/>
    </row>
    <row r="80" ht="12" customHeight="1" spans="1:18">
      <c r="A80" s="144"/>
      <c r="B80" s="161" t="s">
        <v>176</v>
      </c>
      <c r="C80" s="162" t="s">
        <v>123</v>
      </c>
      <c r="D80" s="69"/>
      <c r="E80" s="69"/>
      <c r="F80" s="97"/>
      <c r="G80" s="97"/>
      <c r="H80" s="69">
        <f t="shared" ref="H80:I85" si="7">D80*F80</f>
        <v>0</v>
      </c>
      <c r="I80" s="69">
        <f t="shared" si="7"/>
        <v>0</v>
      </c>
      <c r="J80" s="69"/>
      <c r="K80" s="69">
        <f t="shared" ref="K80:K85" si="8">D80+E80</f>
        <v>0</v>
      </c>
      <c r="L80" s="69">
        <f t="shared" ref="L80:L85" si="9">F80+G80</f>
        <v>0</v>
      </c>
      <c r="M80" s="133"/>
      <c r="N80" s="177">
        <v>200000179</v>
      </c>
      <c r="O80" s="161" t="s">
        <v>177</v>
      </c>
      <c r="P80" s="96" t="s">
        <v>32</v>
      </c>
      <c r="Q80" s="155"/>
      <c r="R80" s="147"/>
    </row>
    <row r="81" ht="12" customHeight="1" spans="1:18">
      <c r="A81" s="144"/>
      <c r="B81" s="161" t="s">
        <v>178</v>
      </c>
      <c r="C81" s="162" t="s">
        <v>123</v>
      </c>
      <c r="D81" s="69"/>
      <c r="E81" s="69"/>
      <c r="F81" s="97"/>
      <c r="G81" s="97"/>
      <c r="H81" s="69">
        <f t="shared" si="7"/>
        <v>0</v>
      </c>
      <c r="I81" s="69">
        <f t="shared" si="7"/>
        <v>0</v>
      </c>
      <c r="J81" s="69"/>
      <c r="K81" s="69">
        <f t="shared" si="8"/>
        <v>0</v>
      </c>
      <c r="L81" s="69">
        <f t="shared" si="9"/>
        <v>0</v>
      </c>
      <c r="M81" s="133"/>
      <c r="N81" s="135">
        <v>200000186</v>
      </c>
      <c r="O81" s="136" t="s">
        <v>179</v>
      </c>
      <c r="P81" s="96" t="s">
        <v>32</v>
      </c>
      <c r="Q81" s="155"/>
      <c r="R81" s="147"/>
    </row>
    <row r="82" ht="12" customHeight="1" spans="1:18">
      <c r="A82" s="144"/>
      <c r="B82" s="161" t="s">
        <v>180</v>
      </c>
      <c r="C82" s="162" t="s">
        <v>123</v>
      </c>
      <c r="D82" s="69"/>
      <c r="E82" s="69"/>
      <c r="F82" s="97"/>
      <c r="G82" s="97"/>
      <c r="H82" s="69">
        <f t="shared" si="7"/>
        <v>0</v>
      </c>
      <c r="I82" s="69">
        <f t="shared" si="7"/>
        <v>0</v>
      </c>
      <c r="J82" s="69"/>
      <c r="K82" s="69">
        <f t="shared" si="8"/>
        <v>0</v>
      </c>
      <c r="L82" s="69">
        <f t="shared" si="9"/>
        <v>0</v>
      </c>
      <c r="M82" s="133"/>
      <c r="N82" s="177">
        <v>200000155</v>
      </c>
      <c r="O82" s="161" t="s">
        <v>181</v>
      </c>
      <c r="P82" s="96" t="s">
        <v>32</v>
      </c>
      <c r="Q82" s="155"/>
      <c r="R82" s="147"/>
    </row>
    <row r="83" ht="12" customHeight="1" spans="1:18">
      <c r="A83" s="144"/>
      <c r="B83" s="161" t="s">
        <v>182</v>
      </c>
      <c r="C83" s="162" t="s">
        <v>123</v>
      </c>
      <c r="D83" s="69"/>
      <c r="E83" s="69"/>
      <c r="F83" s="97"/>
      <c r="G83" s="97"/>
      <c r="H83" s="69">
        <f t="shared" si="7"/>
        <v>0</v>
      </c>
      <c r="I83" s="69">
        <f t="shared" si="7"/>
        <v>0</v>
      </c>
      <c r="J83" s="69"/>
      <c r="K83" s="69">
        <f t="shared" si="8"/>
        <v>0</v>
      </c>
      <c r="L83" s="69">
        <f t="shared" si="9"/>
        <v>0</v>
      </c>
      <c r="M83" s="133"/>
      <c r="N83" s="145">
        <v>200000180</v>
      </c>
      <c r="O83" s="178" t="s">
        <v>183</v>
      </c>
      <c r="P83" s="179" t="s">
        <v>32</v>
      </c>
      <c r="Q83" s="188"/>
      <c r="R83" s="147"/>
    </row>
    <row r="84" ht="12" customHeight="1" spans="1:18">
      <c r="A84" s="144"/>
      <c r="B84" s="163" t="s">
        <v>184</v>
      </c>
      <c r="C84" s="162" t="s">
        <v>123</v>
      </c>
      <c r="D84" s="69"/>
      <c r="E84" s="69"/>
      <c r="F84" s="97"/>
      <c r="G84" s="97"/>
      <c r="H84" s="69">
        <f t="shared" si="7"/>
        <v>0</v>
      </c>
      <c r="I84" s="69">
        <f t="shared" si="7"/>
        <v>0</v>
      </c>
      <c r="J84" s="69"/>
      <c r="K84" s="69">
        <f t="shared" si="8"/>
        <v>0</v>
      </c>
      <c r="L84" s="69">
        <f t="shared" si="9"/>
        <v>0</v>
      </c>
      <c r="M84" s="133"/>
      <c r="N84" s="180">
        <v>200001049</v>
      </c>
      <c r="O84" s="181" t="s">
        <v>185</v>
      </c>
      <c r="P84" s="182" t="s">
        <v>32</v>
      </c>
      <c r="Q84" s="189"/>
      <c r="R84" s="190"/>
    </row>
    <row r="85" ht="12" customHeight="1" spans="1:18">
      <c r="A85" s="144"/>
      <c r="B85" s="163" t="s">
        <v>186</v>
      </c>
      <c r="C85" s="162" t="s">
        <v>123</v>
      </c>
      <c r="D85" s="69"/>
      <c r="E85" s="69"/>
      <c r="F85" s="97"/>
      <c r="G85" s="97"/>
      <c r="H85" s="69">
        <f t="shared" si="7"/>
        <v>0</v>
      </c>
      <c r="I85" s="69">
        <f t="shared" si="7"/>
        <v>0</v>
      </c>
      <c r="J85" s="69"/>
      <c r="K85" s="69">
        <f t="shared" si="8"/>
        <v>0</v>
      </c>
      <c r="L85" s="69">
        <f t="shared" si="9"/>
        <v>0</v>
      </c>
      <c r="M85" s="133"/>
      <c r="N85" s="180">
        <v>200000164</v>
      </c>
      <c r="O85" s="181" t="s">
        <v>187</v>
      </c>
      <c r="P85" s="182" t="s">
        <v>32</v>
      </c>
      <c r="Q85" s="189"/>
      <c r="R85" s="190"/>
    </row>
    <row r="86" ht="12" customHeight="1" spans="1:18">
      <c r="A86" s="144"/>
      <c r="B86" s="163" t="s">
        <v>188</v>
      </c>
      <c r="C86" s="162" t="s">
        <v>123</v>
      </c>
      <c r="D86" s="69"/>
      <c r="E86" s="69"/>
      <c r="F86" s="97"/>
      <c r="G86" s="97"/>
      <c r="H86" s="69" t="s">
        <v>174</v>
      </c>
      <c r="I86" s="69" t="s">
        <v>174</v>
      </c>
      <c r="J86" s="69"/>
      <c r="K86" s="69"/>
      <c r="L86" s="69"/>
      <c r="M86" s="133"/>
      <c r="N86" s="180">
        <v>200000178</v>
      </c>
      <c r="O86" s="181" t="s">
        <v>189</v>
      </c>
      <c r="P86" s="182"/>
      <c r="Q86" s="189"/>
      <c r="R86" s="190"/>
    </row>
    <row r="87" ht="12" customHeight="1" spans="1:18">
      <c r="A87" s="144"/>
      <c r="B87" s="163" t="s">
        <v>190</v>
      </c>
      <c r="C87" s="162" t="s">
        <v>123</v>
      </c>
      <c r="D87" s="69"/>
      <c r="E87" s="69"/>
      <c r="F87" s="97"/>
      <c r="G87" s="97"/>
      <c r="H87" s="69">
        <f>D87*F87</f>
        <v>0</v>
      </c>
      <c r="I87" s="69">
        <f>E87*G87</f>
        <v>0</v>
      </c>
      <c r="J87" s="69"/>
      <c r="K87" s="69">
        <f>D87+E87</f>
        <v>0</v>
      </c>
      <c r="L87" s="69">
        <f>F87+G87</f>
        <v>0</v>
      </c>
      <c r="M87" s="133"/>
      <c r="N87" s="180">
        <v>200000176</v>
      </c>
      <c r="O87" s="181" t="s">
        <v>191</v>
      </c>
      <c r="P87" s="182" t="s">
        <v>32</v>
      </c>
      <c r="Q87" s="189"/>
      <c r="R87" s="190"/>
    </row>
    <row r="88" ht="12" customHeight="1" spans="1:18">
      <c r="A88" s="144"/>
      <c r="B88" s="163" t="s">
        <v>192</v>
      </c>
      <c r="C88" s="162" t="s">
        <v>123</v>
      </c>
      <c r="D88" s="69"/>
      <c r="E88" s="69"/>
      <c r="F88" s="97"/>
      <c r="G88" s="97"/>
      <c r="H88" s="69"/>
      <c r="I88" s="69"/>
      <c r="J88" s="69"/>
      <c r="K88" s="69"/>
      <c r="L88" s="69"/>
      <c r="M88" s="133"/>
      <c r="N88" s="180">
        <v>200000158</v>
      </c>
      <c r="O88" s="181" t="s">
        <v>193</v>
      </c>
      <c r="P88" s="182" t="s">
        <v>32</v>
      </c>
      <c r="Q88" s="189"/>
      <c r="R88" s="190"/>
    </row>
    <row r="89" ht="12" customHeight="1" spans="1:18">
      <c r="A89" s="144"/>
      <c r="B89" s="163" t="s">
        <v>194</v>
      </c>
      <c r="C89" s="162" t="s">
        <v>123</v>
      </c>
      <c r="D89" s="69"/>
      <c r="E89" s="69"/>
      <c r="F89" s="97"/>
      <c r="G89" s="97"/>
      <c r="H89" s="69"/>
      <c r="I89" s="69"/>
      <c r="J89" s="69"/>
      <c r="K89" s="69"/>
      <c r="L89" s="69"/>
      <c r="M89" s="133"/>
      <c r="N89" s="180">
        <v>200000156</v>
      </c>
      <c r="O89" s="181" t="s">
        <v>195</v>
      </c>
      <c r="P89" s="182" t="s">
        <v>32</v>
      </c>
      <c r="Q89" s="189"/>
      <c r="R89" s="190"/>
    </row>
    <row r="90" ht="12" customHeight="1" spans="1:18">
      <c r="A90" s="66" t="s">
        <v>196</v>
      </c>
      <c r="B90" s="106" t="s">
        <v>197</v>
      </c>
      <c r="C90" s="68" t="s">
        <v>198</v>
      </c>
      <c r="D90" s="69"/>
      <c r="E90" s="69"/>
      <c r="F90" s="71"/>
      <c r="G90" s="97"/>
      <c r="H90" s="69">
        <f t="shared" ref="H90:I92" si="10">D90*F90</f>
        <v>0</v>
      </c>
      <c r="I90" s="69">
        <f t="shared" si="10"/>
        <v>0</v>
      </c>
      <c r="J90" s="69"/>
      <c r="K90" s="69">
        <f>D90+E90</f>
        <v>0</v>
      </c>
      <c r="L90" s="69">
        <f>F90+G90</f>
        <v>0</v>
      </c>
      <c r="M90" s="133"/>
      <c r="N90" s="68">
        <v>200002408</v>
      </c>
      <c r="O90" s="106" t="s">
        <v>199</v>
      </c>
      <c r="P90" s="96" t="s">
        <v>32</v>
      </c>
      <c r="Q90" s="155"/>
      <c r="R90" s="147"/>
    </row>
    <row r="91" ht="12" customHeight="1" spans="1:18">
      <c r="A91" s="66" t="s">
        <v>200</v>
      </c>
      <c r="B91" s="95" t="s">
        <v>201</v>
      </c>
      <c r="C91" s="162" t="s">
        <v>198</v>
      </c>
      <c r="D91" s="69"/>
      <c r="E91" s="69"/>
      <c r="F91" s="97"/>
      <c r="G91" s="97"/>
      <c r="H91" s="69">
        <f t="shared" si="10"/>
        <v>0</v>
      </c>
      <c r="I91" s="69">
        <f t="shared" si="10"/>
        <v>0</v>
      </c>
      <c r="J91" s="69"/>
      <c r="K91" s="69">
        <f>D91+E91</f>
        <v>0</v>
      </c>
      <c r="L91" s="69">
        <f>F91+G91</f>
        <v>0</v>
      </c>
      <c r="M91" s="133"/>
      <c r="N91" s="135">
        <v>200001009</v>
      </c>
      <c r="O91" s="136" t="s">
        <v>202</v>
      </c>
      <c r="P91" s="96" t="s">
        <v>32</v>
      </c>
      <c r="Q91" s="155"/>
      <c r="R91" s="147"/>
    </row>
    <row r="92" ht="12" customHeight="1" spans="1:18">
      <c r="A92" s="66" t="s">
        <v>203</v>
      </c>
      <c r="B92" s="106" t="s">
        <v>204</v>
      </c>
      <c r="C92" s="68" t="s">
        <v>205</v>
      </c>
      <c r="D92" s="69"/>
      <c r="E92" s="70">
        <f>'BoM AE'!C73+'BoM AE'!C74</f>
        <v>0</v>
      </c>
      <c r="F92" s="97"/>
      <c r="G92" s="71"/>
      <c r="H92" s="69">
        <f t="shared" si="10"/>
        <v>0</v>
      </c>
      <c r="I92" s="69">
        <f t="shared" si="10"/>
        <v>0</v>
      </c>
      <c r="J92" s="69"/>
      <c r="K92" s="69">
        <f>D92+E92</f>
        <v>0</v>
      </c>
      <c r="L92" s="69">
        <f>F92+G92</f>
        <v>0</v>
      </c>
      <c r="M92" s="133"/>
      <c r="N92" s="68">
        <v>500000510</v>
      </c>
      <c r="O92" s="106" t="s">
        <v>206</v>
      </c>
      <c r="P92" s="96" t="s">
        <v>27</v>
      </c>
      <c r="Q92" s="155"/>
      <c r="R92" s="147"/>
    </row>
    <row r="93" ht="12" customHeight="1" spans="1:18">
      <c r="A93" s="66"/>
      <c r="B93" s="106" t="s">
        <v>207</v>
      </c>
      <c r="C93" s="68" t="s">
        <v>198</v>
      </c>
      <c r="D93" s="69"/>
      <c r="E93" s="69"/>
      <c r="F93" s="97"/>
      <c r="G93" s="71"/>
      <c r="H93" s="69">
        <v>0</v>
      </c>
      <c r="I93" s="69">
        <v>0</v>
      </c>
      <c r="J93" s="69"/>
      <c r="K93" s="69">
        <v>0</v>
      </c>
      <c r="L93" s="69">
        <v>0</v>
      </c>
      <c r="M93" s="133"/>
      <c r="N93" s="68">
        <v>200000232</v>
      </c>
      <c r="O93" s="106" t="s">
        <v>207</v>
      </c>
      <c r="P93" s="96" t="s">
        <v>32</v>
      </c>
      <c r="Q93" s="155" t="s">
        <v>208</v>
      </c>
      <c r="R93" s="147"/>
    </row>
    <row r="94" ht="12" customHeight="1" spans="1:18">
      <c r="A94" s="66" t="s">
        <v>209</v>
      </c>
      <c r="B94" s="106" t="s">
        <v>210</v>
      </c>
      <c r="C94" s="68" t="s">
        <v>198</v>
      </c>
      <c r="D94" s="70">
        <f>'BoM AE'!C49</f>
        <v>0</v>
      </c>
      <c r="E94" s="70">
        <f>D94</f>
        <v>0</v>
      </c>
      <c r="F94" s="71"/>
      <c r="G94" s="108"/>
      <c r="H94" s="69">
        <f t="shared" ref="H94:I104" si="11">D94*F94</f>
        <v>0</v>
      </c>
      <c r="I94" s="69">
        <f t="shared" si="11"/>
        <v>0</v>
      </c>
      <c r="J94" s="69"/>
      <c r="K94" s="69">
        <f t="shared" ref="K94:K104" si="12">D94+E94</f>
        <v>0</v>
      </c>
      <c r="L94" s="69">
        <f t="shared" ref="L94:L104" si="13">F94+G94</f>
        <v>0</v>
      </c>
      <c r="M94" s="133"/>
      <c r="N94" s="68">
        <v>200000290</v>
      </c>
      <c r="O94" s="106" t="s">
        <v>211</v>
      </c>
      <c r="P94" s="96" t="s">
        <v>32</v>
      </c>
      <c r="Q94" s="155"/>
      <c r="R94" s="147"/>
    </row>
    <row r="95" ht="12" customHeight="1" spans="1:18">
      <c r="A95" s="66" t="s">
        <v>212</v>
      </c>
      <c r="B95" s="106" t="s">
        <v>213</v>
      </c>
      <c r="C95" s="68" t="s">
        <v>198</v>
      </c>
      <c r="D95" s="70">
        <f>'BoM AE'!C50</f>
        <v>0</v>
      </c>
      <c r="E95" s="70">
        <f t="shared" ref="E95:E98" si="14">D95</f>
        <v>0</v>
      </c>
      <c r="F95" s="71"/>
      <c r="G95" s="108"/>
      <c r="H95" s="69">
        <f t="shared" si="11"/>
        <v>0</v>
      </c>
      <c r="I95" s="69">
        <f t="shared" si="11"/>
        <v>0</v>
      </c>
      <c r="J95" s="69"/>
      <c r="K95" s="69">
        <f t="shared" si="12"/>
        <v>0</v>
      </c>
      <c r="L95" s="69">
        <f t="shared" si="13"/>
        <v>0</v>
      </c>
      <c r="M95" s="133"/>
      <c r="N95" s="68">
        <v>200000273</v>
      </c>
      <c r="O95" s="106" t="s">
        <v>214</v>
      </c>
      <c r="P95" s="96" t="s">
        <v>32</v>
      </c>
      <c r="Q95" s="155"/>
      <c r="R95" s="147"/>
    </row>
    <row r="96" ht="12" customHeight="1" spans="1:18">
      <c r="A96" s="66" t="s">
        <v>215</v>
      </c>
      <c r="B96" s="106" t="s">
        <v>216</v>
      </c>
      <c r="C96" s="68" t="s">
        <v>198</v>
      </c>
      <c r="D96" s="70">
        <f>'BoM AE'!C51</f>
        <v>0</v>
      </c>
      <c r="E96" s="70">
        <f t="shared" si="14"/>
        <v>0</v>
      </c>
      <c r="F96" s="71"/>
      <c r="G96" s="108"/>
      <c r="H96" s="69">
        <f t="shared" si="11"/>
        <v>0</v>
      </c>
      <c r="I96" s="69">
        <f t="shared" si="11"/>
        <v>0</v>
      </c>
      <c r="J96" s="69"/>
      <c r="K96" s="69">
        <f t="shared" si="12"/>
        <v>0</v>
      </c>
      <c r="L96" s="69">
        <f t="shared" si="13"/>
        <v>0</v>
      </c>
      <c r="M96" s="133"/>
      <c r="N96" s="68">
        <v>200000288</v>
      </c>
      <c r="O96" s="106" t="s">
        <v>217</v>
      </c>
      <c r="P96" s="96" t="s">
        <v>32</v>
      </c>
      <c r="Q96" s="155"/>
      <c r="R96" s="147"/>
    </row>
    <row r="97" ht="12" customHeight="1" spans="1:18">
      <c r="A97" s="66" t="s">
        <v>218</v>
      </c>
      <c r="B97" s="106" t="s">
        <v>219</v>
      </c>
      <c r="C97" s="68" t="s">
        <v>198</v>
      </c>
      <c r="D97" s="70">
        <f>'BoM AE'!C52</f>
        <v>0</v>
      </c>
      <c r="E97" s="70">
        <f t="shared" si="14"/>
        <v>0</v>
      </c>
      <c r="F97" s="71"/>
      <c r="G97" s="108"/>
      <c r="H97" s="69">
        <f t="shared" si="11"/>
        <v>0</v>
      </c>
      <c r="I97" s="69">
        <f t="shared" si="11"/>
        <v>0</v>
      </c>
      <c r="J97" s="69"/>
      <c r="K97" s="69">
        <f t="shared" si="12"/>
        <v>0</v>
      </c>
      <c r="L97" s="69">
        <f t="shared" si="13"/>
        <v>0</v>
      </c>
      <c r="M97" s="133"/>
      <c r="N97" s="68">
        <v>500001742</v>
      </c>
      <c r="O97" s="106" t="s">
        <v>220</v>
      </c>
      <c r="P97" s="96" t="s">
        <v>32</v>
      </c>
      <c r="Q97" s="155"/>
      <c r="R97" s="147"/>
    </row>
    <row r="98" ht="12" customHeight="1" spans="1:18">
      <c r="A98" s="66" t="s">
        <v>221</v>
      </c>
      <c r="B98" s="106" t="s">
        <v>222</v>
      </c>
      <c r="C98" s="68" t="s">
        <v>198</v>
      </c>
      <c r="D98" s="69">
        <f>'BoM AE'!E93+'BoM AE'!E94</f>
        <v>0</v>
      </c>
      <c r="E98" s="69">
        <f t="shared" si="14"/>
        <v>0</v>
      </c>
      <c r="F98" s="97"/>
      <c r="G98" s="97"/>
      <c r="H98" s="69">
        <f t="shared" si="11"/>
        <v>0</v>
      </c>
      <c r="I98" s="69">
        <f t="shared" si="11"/>
        <v>0</v>
      </c>
      <c r="J98" s="69"/>
      <c r="K98" s="69">
        <f t="shared" si="12"/>
        <v>0</v>
      </c>
      <c r="L98" s="69">
        <f t="shared" si="13"/>
        <v>0</v>
      </c>
      <c r="M98" s="133"/>
      <c r="N98" s="68">
        <v>200000802</v>
      </c>
      <c r="O98" s="106" t="s">
        <v>223</v>
      </c>
      <c r="P98" s="96" t="s">
        <v>32</v>
      </c>
      <c r="Q98" s="155"/>
      <c r="R98" s="147"/>
    </row>
    <row r="99" ht="12" customHeight="1" spans="1:18">
      <c r="A99" s="66" t="s">
        <v>224</v>
      </c>
      <c r="B99" s="106" t="s">
        <v>225</v>
      </c>
      <c r="C99" s="68" t="s">
        <v>42</v>
      </c>
      <c r="D99" s="69"/>
      <c r="E99" s="69"/>
      <c r="F99" s="97"/>
      <c r="G99" s="97"/>
      <c r="H99" s="69">
        <f t="shared" si="11"/>
        <v>0</v>
      </c>
      <c r="I99" s="69">
        <f t="shared" si="11"/>
        <v>0</v>
      </c>
      <c r="J99" s="69"/>
      <c r="K99" s="69">
        <f t="shared" si="12"/>
        <v>0</v>
      </c>
      <c r="L99" s="69">
        <f t="shared" si="13"/>
        <v>0</v>
      </c>
      <c r="M99" s="133"/>
      <c r="N99" s="68"/>
      <c r="O99" s="106"/>
      <c r="P99" s="96"/>
      <c r="Q99" s="155"/>
      <c r="R99" s="147"/>
    </row>
    <row r="100" ht="12" customHeight="1" spans="1:18">
      <c r="A100" s="66"/>
      <c r="B100" s="106" t="s">
        <v>226</v>
      </c>
      <c r="C100" s="68" t="s">
        <v>42</v>
      </c>
      <c r="D100" s="69"/>
      <c r="E100" s="69"/>
      <c r="F100" s="97"/>
      <c r="G100" s="97"/>
      <c r="H100" s="69">
        <f t="shared" si="11"/>
        <v>0</v>
      </c>
      <c r="I100" s="69">
        <f t="shared" si="11"/>
        <v>0</v>
      </c>
      <c r="J100" s="69"/>
      <c r="K100" s="69">
        <f t="shared" si="12"/>
        <v>0</v>
      </c>
      <c r="L100" s="69">
        <f t="shared" si="13"/>
        <v>0</v>
      </c>
      <c r="M100" s="133"/>
      <c r="N100" s="135">
        <v>200001028</v>
      </c>
      <c r="O100" s="136" t="s">
        <v>227</v>
      </c>
      <c r="P100" s="96" t="s">
        <v>32</v>
      </c>
      <c r="Q100" s="155"/>
      <c r="R100" s="147"/>
    </row>
    <row r="101" ht="12" customHeight="1" spans="1:18">
      <c r="A101" s="66"/>
      <c r="B101" s="106" t="s">
        <v>228</v>
      </c>
      <c r="C101" s="66" t="s">
        <v>72</v>
      </c>
      <c r="D101" s="69"/>
      <c r="E101" s="69"/>
      <c r="F101" s="86"/>
      <c r="G101" s="86"/>
      <c r="H101" s="132">
        <f t="shared" si="11"/>
        <v>0</v>
      </c>
      <c r="I101" s="132">
        <f t="shared" si="11"/>
        <v>0</v>
      </c>
      <c r="J101" s="132"/>
      <c r="K101" s="69">
        <f t="shared" si="12"/>
        <v>0</v>
      </c>
      <c r="L101" s="69">
        <f t="shared" si="13"/>
        <v>0</v>
      </c>
      <c r="M101" s="133"/>
      <c r="N101" s="135">
        <v>200001011</v>
      </c>
      <c r="O101" s="136" t="s">
        <v>229</v>
      </c>
      <c r="P101" s="96" t="s">
        <v>32</v>
      </c>
      <c r="Q101" s="155"/>
      <c r="R101" s="147"/>
    </row>
    <row r="102" ht="12" customHeight="1" spans="1:18">
      <c r="A102" s="66"/>
      <c r="B102" s="164" t="s">
        <v>230</v>
      </c>
      <c r="C102" s="66" t="s">
        <v>72</v>
      </c>
      <c r="D102" s="69"/>
      <c r="E102" s="69"/>
      <c r="F102" s="86"/>
      <c r="G102" s="86"/>
      <c r="H102" s="132">
        <f t="shared" si="11"/>
        <v>0</v>
      </c>
      <c r="I102" s="132">
        <f t="shared" si="11"/>
        <v>0</v>
      </c>
      <c r="J102" s="132"/>
      <c r="K102" s="69">
        <f t="shared" si="12"/>
        <v>0</v>
      </c>
      <c r="L102" s="69">
        <f t="shared" si="13"/>
        <v>0</v>
      </c>
      <c r="M102" s="133"/>
      <c r="N102" s="135">
        <v>500002092</v>
      </c>
      <c r="O102" s="136" t="s">
        <v>231</v>
      </c>
      <c r="P102" s="96" t="s">
        <v>27</v>
      </c>
      <c r="Q102" s="191"/>
      <c r="R102" s="192"/>
    </row>
    <row r="103" ht="12" customHeight="1" spans="1:18">
      <c r="A103" s="66"/>
      <c r="B103" s="164" t="s">
        <v>232</v>
      </c>
      <c r="C103" s="66" t="s">
        <v>72</v>
      </c>
      <c r="D103" s="69"/>
      <c r="E103" s="69"/>
      <c r="F103" s="96"/>
      <c r="G103" s="96"/>
      <c r="H103" s="132">
        <f t="shared" si="11"/>
        <v>0</v>
      </c>
      <c r="I103" s="132">
        <f t="shared" si="11"/>
        <v>0</v>
      </c>
      <c r="J103" s="132"/>
      <c r="K103" s="69">
        <f t="shared" si="12"/>
        <v>0</v>
      </c>
      <c r="L103" s="123">
        <f t="shared" si="13"/>
        <v>0</v>
      </c>
      <c r="M103" s="133"/>
      <c r="N103" s="135">
        <v>500002093</v>
      </c>
      <c r="O103" s="136" t="s">
        <v>233</v>
      </c>
      <c r="P103" s="96" t="s">
        <v>27</v>
      </c>
      <c r="Q103" s="191"/>
      <c r="R103" s="192"/>
    </row>
    <row r="104" ht="12" customHeight="1" spans="1:18">
      <c r="A104" s="66"/>
      <c r="B104" s="164" t="s">
        <v>234</v>
      </c>
      <c r="C104" s="66" t="s">
        <v>72</v>
      </c>
      <c r="D104" s="69"/>
      <c r="E104" s="69"/>
      <c r="F104" s="96"/>
      <c r="G104" s="96"/>
      <c r="H104" s="132">
        <f t="shared" si="11"/>
        <v>0</v>
      </c>
      <c r="I104" s="132">
        <f t="shared" si="11"/>
        <v>0</v>
      </c>
      <c r="J104" s="132"/>
      <c r="K104" s="69">
        <f t="shared" si="12"/>
        <v>0</v>
      </c>
      <c r="L104" s="123">
        <f t="shared" si="13"/>
        <v>0</v>
      </c>
      <c r="M104" s="133"/>
      <c r="N104" s="135">
        <v>500002094</v>
      </c>
      <c r="O104" s="136" t="s">
        <v>235</v>
      </c>
      <c r="P104" s="96" t="s">
        <v>27</v>
      </c>
      <c r="Q104" s="191"/>
      <c r="R104" s="192"/>
    </row>
    <row r="105" s="37" customFormat="1" spans="1:28">
      <c r="A105" s="165" t="s">
        <v>236</v>
      </c>
      <c r="B105" s="166"/>
      <c r="C105" s="166"/>
      <c r="D105" s="78"/>
      <c r="E105" s="78"/>
      <c r="F105" s="166"/>
      <c r="G105" s="166"/>
      <c r="H105" s="80">
        <f>SUM(H15:H104)</f>
        <v>0</v>
      </c>
      <c r="I105" s="80">
        <f>SUM(I15:I104)</f>
        <v>0</v>
      </c>
      <c r="J105" s="80">
        <f>H105+I105</f>
        <v>0</v>
      </c>
      <c r="K105" s="80"/>
      <c r="L105" s="80"/>
      <c r="M105" s="80"/>
      <c r="N105" s="183"/>
      <c r="O105" s="183"/>
      <c r="P105" s="80"/>
      <c r="Q105" s="156"/>
      <c r="R105" s="157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spans="1:18">
      <c r="A106" s="167"/>
      <c r="B106" s="168"/>
      <c r="C106" s="169"/>
      <c r="D106" s="85"/>
      <c r="E106" s="85"/>
      <c r="F106" s="169"/>
      <c r="G106" s="169"/>
      <c r="H106" s="170"/>
      <c r="I106" s="170"/>
      <c r="J106" s="170"/>
      <c r="K106" s="170"/>
      <c r="L106" s="170"/>
      <c r="M106" s="184"/>
      <c r="N106" s="185"/>
      <c r="O106" s="185"/>
      <c r="P106" s="186"/>
      <c r="Q106" s="155"/>
      <c r="R106" s="147"/>
    </row>
    <row r="107" s="36" customFormat="1" spans="1:28">
      <c r="A107" s="61">
        <v>2.2</v>
      </c>
      <c r="B107" s="171" t="s">
        <v>237</v>
      </c>
      <c r="C107" s="63"/>
      <c r="D107" s="93"/>
      <c r="E107" s="93"/>
      <c r="F107" s="63"/>
      <c r="G107" s="63"/>
      <c r="H107" s="63"/>
      <c r="I107" s="63"/>
      <c r="J107" s="122"/>
      <c r="K107" s="63"/>
      <c r="L107" s="63"/>
      <c r="M107" s="65"/>
      <c r="N107" s="122"/>
      <c r="O107" s="122"/>
      <c r="P107" s="65"/>
      <c r="Q107" s="155"/>
      <c r="R107" s="147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ht="27.6" spans="1:18">
      <c r="A108" s="66" t="s">
        <v>39</v>
      </c>
      <c r="B108" s="172" t="s">
        <v>238</v>
      </c>
      <c r="C108" s="68"/>
      <c r="D108" s="69"/>
      <c r="E108" s="69"/>
      <c r="F108" s="86"/>
      <c r="G108" s="86"/>
      <c r="H108" s="96"/>
      <c r="I108" s="96"/>
      <c r="J108" s="96"/>
      <c r="K108" s="69">
        <f t="shared" ref="K108:K119" si="15">D108+E108</f>
        <v>0</v>
      </c>
      <c r="L108" s="123">
        <f t="shared" ref="L108:L119" si="16">F108+G108</f>
        <v>0</v>
      </c>
      <c r="M108" s="133"/>
      <c r="N108" s="144"/>
      <c r="O108" s="144"/>
      <c r="P108" s="133"/>
      <c r="Q108" s="155"/>
      <c r="R108" s="147"/>
    </row>
    <row r="109" spans="1:18">
      <c r="A109" s="66"/>
      <c r="B109" s="173" t="s">
        <v>239</v>
      </c>
      <c r="C109" s="68" t="s">
        <v>42</v>
      </c>
      <c r="D109" s="69"/>
      <c r="E109" s="69"/>
      <c r="F109" s="86"/>
      <c r="G109" s="86"/>
      <c r="H109" s="86">
        <f t="shared" ref="H109:I119" si="17">D109*F109</f>
        <v>0</v>
      </c>
      <c r="I109" s="86">
        <f t="shared" si="17"/>
        <v>0</v>
      </c>
      <c r="J109" s="86"/>
      <c r="K109" s="69">
        <f t="shared" si="15"/>
        <v>0</v>
      </c>
      <c r="L109" s="123">
        <f t="shared" si="16"/>
        <v>0</v>
      </c>
      <c r="M109" s="133"/>
      <c r="N109" s="144">
        <v>500002115</v>
      </c>
      <c r="O109" s="187" t="s">
        <v>240</v>
      </c>
      <c r="P109" s="96" t="s">
        <v>27</v>
      </c>
      <c r="Q109" s="155"/>
      <c r="R109" s="147"/>
    </row>
    <row r="110" spans="1:18">
      <c r="A110" s="66"/>
      <c r="B110" s="174" t="s">
        <v>241</v>
      </c>
      <c r="C110" s="68" t="s">
        <v>42</v>
      </c>
      <c r="D110" s="69"/>
      <c r="E110" s="69"/>
      <c r="F110" s="86"/>
      <c r="G110" s="86"/>
      <c r="H110" s="86">
        <f t="shared" si="17"/>
        <v>0</v>
      </c>
      <c r="I110" s="86">
        <f t="shared" si="17"/>
        <v>0</v>
      </c>
      <c r="J110" s="86"/>
      <c r="K110" s="69">
        <f t="shared" si="15"/>
        <v>0</v>
      </c>
      <c r="L110" s="123">
        <f t="shared" si="16"/>
        <v>0</v>
      </c>
      <c r="M110" s="133"/>
      <c r="N110" s="144">
        <v>500002116</v>
      </c>
      <c r="O110" s="187" t="s">
        <v>242</v>
      </c>
      <c r="P110" s="96" t="s">
        <v>27</v>
      </c>
      <c r="Q110" s="155"/>
      <c r="R110" s="147"/>
    </row>
    <row r="111" ht="27.6" spans="1:18">
      <c r="A111" s="66" t="s">
        <v>96</v>
      </c>
      <c r="B111" s="174" t="s">
        <v>243</v>
      </c>
      <c r="C111" s="68"/>
      <c r="D111" s="69"/>
      <c r="E111" s="69"/>
      <c r="F111" s="86"/>
      <c r="G111" s="86"/>
      <c r="H111" s="86">
        <f t="shared" si="17"/>
        <v>0</v>
      </c>
      <c r="I111" s="86">
        <f t="shared" si="17"/>
        <v>0</v>
      </c>
      <c r="J111" s="86"/>
      <c r="K111" s="69">
        <f t="shared" si="15"/>
        <v>0</v>
      </c>
      <c r="L111" s="123">
        <f t="shared" si="16"/>
        <v>0</v>
      </c>
      <c r="M111" s="133"/>
      <c r="N111" s="144"/>
      <c r="O111" s="144"/>
      <c r="P111" s="133"/>
      <c r="Q111" s="155"/>
      <c r="R111" s="147"/>
    </row>
    <row r="112" spans="1:18">
      <c r="A112" s="66"/>
      <c r="B112" s="174" t="s">
        <v>244</v>
      </c>
      <c r="C112" s="68" t="s">
        <v>42</v>
      </c>
      <c r="D112" s="69">
        <f>'BoM AE'!E84</f>
        <v>0</v>
      </c>
      <c r="E112" s="69">
        <f>D112</f>
        <v>0</v>
      </c>
      <c r="F112" s="86"/>
      <c r="G112" s="86"/>
      <c r="H112" s="86">
        <f t="shared" si="17"/>
        <v>0</v>
      </c>
      <c r="I112" s="86">
        <f t="shared" si="17"/>
        <v>0</v>
      </c>
      <c r="J112" s="86"/>
      <c r="K112" s="69">
        <f t="shared" si="15"/>
        <v>0</v>
      </c>
      <c r="L112" s="123">
        <f t="shared" si="16"/>
        <v>0</v>
      </c>
      <c r="M112" s="133"/>
      <c r="N112" s="135">
        <v>500002117</v>
      </c>
      <c r="O112" s="136" t="s">
        <v>245</v>
      </c>
      <c r="P112" s="96" t="s">
        <v>27</v>
      </c>
      <c r="Q112" s="155"/>
      <c r="R112" s="147"/>
    </row>
    <row r="113" spans="1:18">
      <c r="A113" s="66"/>
      <c r="B113" s="174" t="s">
        <v>246</v>
      </c>
      <c r="C113" s="68" t="s">
        <v>42</v>
      </c>
      <c r="D113" s="69"/>
      <c r="E113" s="69"/>
      <c r="F113" s="86"/>
      <c r="G113" s="86"/>
      <c r="H113" s="86">
        <f t="shared" si="17"/>
        <v>0</v>
      </c>
      <c r="I113" s="86">
        <f t="shared" si="17"/>
        <v>0</v>
      </c>
      <c r="J113" s="86"/>
      <c r="K113" s="69">
        <f t="shared" si="15"/>
        <v>0</v>
      </c>
      <c r="L113" s="123">
        <f t="shared" si="16"/>
        <v>0</v>
      </c>
      <c r="M113" s="133"/>
      <c r="N113" s="135">
        <v>500002118</v>
      </c>
      <c r="O113" s="136" t="s">
        <v>247</v>
      </c>
      <c r="P113" s="96" t="s">
        <v>27</v>
      </c>
      <c r="Q113" s="155"/>
      <c r="R113" s="147"/>
    </row>
    <row r="114" spans="1:18">
      <c r="A114" s="66"/>
      <c r="B114" s="174" t="s">
        <v>248</v>
      </c>
      <c r="C114" s="68" t="s">
        <v>42</v>
      </c>
      <c r="D114" s="69"/>
      <c r="E114" s="69"/>
      <c r="F114" s="86"/>
      <c r="G114" s="86"/>
      <c r="H114" s="86">
        <f t="shared" si="17"/>
        <v>0</v>
      </c>
      <c r="I114" s="86">
        <f t="shared" si="17"/>
        <v>0</v>
      </c>
      <c r="J114" s="86"/>
      <c r="K114" s="69">
        <f t="shared" si="15"/>
        <v>0</v>
      </c>
      <c r="L114" s="123">
        <f t="shared" si="16"/>
        <v>0</v>
      </c>
      <c r="M114" s="133"/>
      <c r="N114" s="135">
        <v>500002119</v>
      </c>
      <c r="O114" s="136" t="s">
        <v>249</v>
      </c>
      <c r="P114" s="96" t="s">
        <v>27</v>
      </c>
      <c r="Q114" s="155"/>
      <c r="R114" s="147"/>
    </row>
    <row r="115" spans="1:18">
      <c r="A115" s="66"/>
      <c r="B115" s="174" t="s">
        <v>250</v>
      </c>
      <c r="C115" s="68" t="s">
        <v>42</v>
      </c>
      <c r="D115" s="69"/>
      <c r="E115" s="69"/>
      <c r="F115" s="86"/>
      <c r="G115" s="86"/>
      <c r="H115" s="86">
        <f t="shared" si="17"/>
        <v>0</v>
      </c>
      <c r="I115" s="86">
        <f t="shared" si="17"/>
        <v>0</v>
      </c>
      <c r="J115" s="86"/>
      <c r="K115" s="69">
        <f t="shared" si="15"/>
        <v>0</v>
      </c>
      <c r="L115" s="123">
        <f t="shared" si="16"/>
        <v>0</v>
      </c>
      <c r="M115" s="133"/>
      <c r="N115" s="135">
        <v>500002120</v>
      </c>
      <c r="O115" s="136" t="s">
        <v>251</v>
      </c>
      <c r="P115" s="96" t="s">
        <v>27</v>
      </c>
      <c r="Q115" s="155"/>
      <c r="R115" s="147"/>
    </row>
    <row r="116" spans="1:18">
      <c r="A116" s="66"/>
      <c r="B116" s="174" t="s">
        <v>252</v>
      </c>
      <c r="C116" s="68" t="s">
        <v>42</v>
      </c>
      <c r="D116" s="69"/>
      <c r="E116" s="69"/>
      <c r="F116" s="86"/>
      <c r="G116" s="86"/>
      <c r="H116" s="86">
        <f t="shared" si="17"/>
        <v>0</v>
      </c>
      <c r="I116" s="86">
        <f t="shared" si="17"/>
        <v>0</v>
      </c>
      <c r="J116" s="86"/>
      <c r="K116" s="69">
        <f t="shared" si="15"/>
        <v>0</v>
      </c>
      <c r="L116" s="123">
        <f t="shared" si="16"/>
        <v>0</v>
      </c>
      <c r="M116" s="133"/>
      <c r="N116" s="68">
        <v>500000879</v>
      </c>
      <c r="O116" s="187" t="s">
        <v>253</v>
      </c>
      <c r="P116" s="96" t="s">
        <v>27</v>
      </c>
      <c r="Q116" s="155"/>
      <c r="R116" s="147"/>
    </row>
    <row r="117" spans="1:18">
      <c r="A117" s="66"/>
      <c r="B117" s="174" t="s">
        <v>254</v>
      </c>
      <c r="C117" s="68" t="s">
        <v>42</v>
      </c>
      <c r="D117" s="69"/>
      <c r="E117" s="69"/>
      <c r="F117" s="86"/>
      <c r="G117" s="86"/>
      <c r="H117" s="86">
        <f t="shared" si="17"/>
        <v>0</v>
      </c>
      <c r="I117" s="86">
        <f t="shared" si="17"/>
        <v>0</v>
      </c>
      <c r="J117" s="86"/>
      <c r="K117" s="69">
        <f t="shared" si="15"/>
        <v>0</v>
      </c>
      <c r="L117" s="123">
        <f t="shared" si="16"/>
        <v>0</v>
      </c>
      <c r="M117" s="133"/>
      <c r="N117" s="135">
        <v>500002121</v>
      </c>
      <c r="O117" s="136" t="s">
        <v>255</v>
      </c>
      <c r="P117" s="96" t="s">
        <v>27</v>
      </c>
      <c r="Q117" s="155"/>
      <c r="R117" s="147"/>
    </row>
    <row r="118" spans="1:18">
      <c r="A118" s="66"/>
      <c r="B118" s="174" t="s">
        <v>256</v>
      </c>
      <c r="C118" s="68" t="s">
        <v>257</v>
      </c>
      <c r="D118" s="69"/>
      <c r="E118" s="69"/>
      <c r="F118" s="86"/>
      <c r="G118" s="86"/>
      <c r="H118" s="86">
        <f t="shared" si="17"/>
        <v>0</v>
      </c>
      <c r="I118" s="86">
        <f t="shared" si="17"/>
        <v>0</v>
      </c>
      <c r="J118" s="86"/>
      <c r="K118" s="69">
        <f t="shared" si="15"/>
        <v>0</v>
      </c>
      <c r="L118" s="123">
        <f t="shared" si="16"/>
        <v>0</v>
      </c>
      <c r="M118" s="133"/>
      <c r="N118" s="68">
        <v>200000399</v>
      </c>
      <c r="O118" s="187" t="s">
        <v>258</v>
      </c>
      <c r="P118" s="96" t="s">
        <v>27</v>
      </c>
      <c r="Q118" s="155"/>
      <c r="R118" s="147"/>
    </row>
    <row r="119" spans="1:18">
      <c r="A119" s="66"/>
      <c r="B119" s="174" t="s">
        <v>259</v>
      </c>
      <c r="C119" s="68" t="s">
        <v>42</v>
      </c>
      <c r="D119" s="69"/>
      <c r="E119" s="69"/>
      <c r="F119" s="86"/>
      <c r="G119" s="86"/>
      <c r="H119" s="86">
        <f t="shared" si="17"/>
        <v>0</v>
      </c>
      <c r="I119" s="86">
        <f t="shared" si="17"/>
        <v>0</v>
      </c>
      <c r="J119" s="86"/>
      <c r="K119" s="69">
        <f t="shared" si="15"/>
        <v>0</v>
      </c>
      <c r="L119" s="69">
        <f t="shared" si="16"/>
        <v>0</v>
      </c>
      <c r="M119" s="133"/>
      <c r="N119" s="68">
        <v>500000980</v>
      </c>
      <c r="O119" s="187" t="s">
        <v>260</v>
      </c>
      <c r="P119" s="96" t="s">
        <v>27</v>
      </c>
      <c r="Q119" s="155"/>
      <c r="R119" s="147"/>
    </row>
    <row r="120" spans="1:18">
      <c r="A120" s="66"/>
      <c r="B120" s="174" t="s">
        <v>261</v>
      </c>
      <c r="C120" s="68" t="s">
        <v>42</v>
      </c>
      <c r="D120" s="69"/>
      <c r="E120" s="69"/>
      <c r="F120" s="86"/>
      <c r="G120" s="86"/>
      <c r="H120" s="86"/>
      <c r="I120" s="86"/>
      <c r="J120" s="86"/>
      <c r="K120" s="69"/>
      <c r="L120" s="69"/>
      <c r="M120" s="133"/>
      <c r="N120" s="68">
        <v>500003620</v>
      </c>
      <c r="O120" s="187" t="s">
        <v>262</v>
      </c>
      <c r="P120" s="96" t="s">
        <v>27</v>
      </c>
      <c r="Q120" s="155"/>
      <c r="R120" s="147"/>
    </row>
    <row r="121" ht="27.6" spans="1:18">
      <c r="A121" s="66"/>
      <c r="B121" s="174" t="s">
        <v>263</v>
      </c>
      <c r="C121" s="68" t="s">
        <v>42</v>
      </c>
      <c r="D121" s="69"/>
      <c r="E121" s="69"/>
      <c r="F121" s="86"/>
      <c r="G121" s="86"/>
      <c r="H121" s="86">
        <f t="shared" ref="H121:I154" si="18">D121*F121</f>
        <v>0</v>
      </c>
      <c r="I121" s="86">
        <f t="shared" si="18"/>
        <v>0</v>
      </c>
      <c r="J121" s="86"/>
      <c r="K121" s="69">
        <f t="shared" ref="K121:K185" si="19">D121+E121</f>
        <v>0</v>
      </c>
      <c r="L121" s="69">
        <f t="shared" ref="L121:L185" si="20">F121+G121</f>
        <v>0</v>
      </c>
      <c r="M121" s="133"/>
      <c r="N121" s="68">
        <v>500002847</v>
      </c>
      <c r="O121" s="187" t="s">
        <v>264</v>
      </c>
      <c r="P121" s="96" t="s">
        <v>27</v>
      </c>
      <c r="Q121" s="193" t="s">
        <v>265</v>
      </c>
      <c r="R121" s="147"/>
    </row>
    <row r="122" ht="27.6" spans="1:18">
      <c r="A122" s="66"/>
      <c r="B122" s="174" t="s">
        <v>266</v>
      </c>
      <c r="C122" s="68" t="s">
        <v>42</v>
      </c>
      <c r="D122" s="69"/>
      <c r="E122" s="69"/>
      <c r="F122" s="86"/>
      <c r="G122" s="86"/>
      <c r="H122" s="86">
        <f t="shared" si="18"/>
        <v>0</v>
      </c>
      <c r="I122" s="86">
        <f t="shared" si="18"/>
        <v>0</v>
      </c>
      <c r="J122" s="86"/>
      <c r="K122" s="69">
        <f t="shared" si="19"/>
        <v>0</v>
      </c>
      <c r="L122" s="69">
        <f t="shared" si="20"/>
        <v>0</v>
      </c>
      <c r="M122" s="133"/>
      <c r="N122" s="68">
        <v>500002848</v>
      </c>
      <c r="O122" s="187" t="s">
        <v>267</v>
      </c>
      <c r="P122" s="96" t="s">
        <v>27</v>
      </c>
      <c r="Q122" s="193" t="s">
        <v>265</v>
      </c>
      <c r="R122" s="147"/>
    </row>
    <row r="123" ht="27.6" spans="1:18">
      <c r="A123" s="66"/>
      <c r="B123" s="174" t="s">
        <v>268</v>
      </c>
      <c r="C123" s="68" t="s">
        <v>42</v>
      </c>
      <c r="D123" s="69"/>
      <c r="E123" s="69"/>
      <c r="F123" s="86"/>
      <c r="G123" s="86"/>
      <c r="H123" s="86">
        <f t="shared" si="18"/>
        <v>0</v>
      </c>
      <c r="I123" s="86">
        <f t="shared" si="18"/>
        <v>0</v>
      </c>
      <c r="J123" s="86"/>
      <c r="K123" s="69">
        <f t="shared" si="19"/>
        <v>0</v>
      </c>
      <c r="L123" s="69">
        <f t="shared" si="20"/>
        <v>0</v>
      </c>
      <c r="M123" s="133"/>
      <c r="N123" s="68">
        <v>500002849</v>
      </c>
      <c r="O123" s="187" t="s">
        <v>269</v>
      </c>
      <c r="P123" s="96" t="s">
        <v>27</v>
      </c>
      <c r="Q123" s="193" t="s">
        <v>265</v>
      </c>
      <c r="R123" s="147"/>
    </row>
    <row r="124" ht="27.6" spans="1:28">
      <c r="A124" s="66"/>
      <c r="B124" s="174" t="s">
        <v>270</v>
      </c>
      <c r="C124" s="68" t="s">
        <v>42</v>
      </c>
      <c r="D124" s="69"/>
      <c r="E124" s="69"/>
      <c r="F124" s="86"/>
      <c r="G124" s="86"/>
      <c r="H124" s="86">
        <f t="shared" si="18"/>
        <v>0</v>
      </c>
      <c r="I124" s="86">
        <f t="shared" si="18"/>
        <v>0</v>
      </c>
      <c r="J124" s="86"/>
      <c r="K124" s="69">
        <f t="shared" si="19"/>
        <v>0</v>
      </c>
      <c r="L124" s="69">
        <f t="shared" si="20"/>
        <v>0</v>
      </c>
      <c r="M124" s="133"/>
      <c r="N124" s="68">
        <v>500003030</v>
      </c>
      <c r="O124" s="187" t="s">
        <v>271</v>
      </c>
      <c r="P124" s="96" t="s">
        <v>27</v>
      </c>
      <c r="Q124" s="193" t="s">
        <v>265</v>
      </c>
      <c r="R124" s="147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spans="1:28">
      <c r="A125" s="66"/>
      <c r="B125" s="174" t="s">
        <v>272</v>
      </c>
      <c r="C125" s="68" t="s">
        <v>42</v>
      </c>
      <c r="D125" s="69"/>
      <c r="E125" s="69"/>
      <c r="F125" s="86"/>
      <c r="G125" s="86"/>
      <c r="H125" s="86">
        <f t="shared" si="18"/>
        <v>0</v>
      </c>
      <c r="I125" s="86">
        <f t="shared" si="18"/>
        <v>0</v>
      </c>
      <c r="J125" s="86"/>
      <c r="K125" s="69">
        <f t="shared" si="19"/>
        <v>0</v>
      </c>
      <c r="L125" s="69">
        <f t="shared" si="20"/>
        <v>0</v>
      </c>
      <c r="M125" s="133"/>
      <c r="N125" s="68">
        <v>500003031</v>
      </c>
      <c r="O125" s="187" t="s">
        <v>273</v>
      </c>
      <c r="P125" s="96" t="s">
        <v>27</v>
      </c>
      <c r="Q125" s="193" t="s">
        <v>265</v>
      </c>
      <c r="R125" s="147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spans="1:28">
      <c r="A126" s="66"/>
      <c r="B126" s="174" t="s">
        <v>274</v>
      </c>
      <c r="C126" s="68" t="s">
        <v>42</v>
      </c>
      <c r="D126" s="69"/>
      <c r="E126" s="69"/>
      <c r="F126" s="86"/>
      <c r="G126" s="86"/>
      <c r="H126" s="86">
        <f t="shared" si="18"/>
        <v>0</v>
      </c>
      <c r="I126" s="86">
        <f t="shared" si="18"/>
        <v>0</v>
      </c>
      <c r="J126" s="86"/>
      <c r="K126" s="69">
        <f t="shared" si="19"/>
        <v>0</v>
      </c>
      <c r="L126" s="69">
        <f t="shared" si="20"/>
        <v>0</v>
      </c>
      <c r="M126" s="133"/>
      <c r="N126" s="68">
        <v>500003032</v>
      </c>
      <c r="O126" s="187" t="s">
        <v>275</v>
      </c>
      <c r="P126" s="96" t="s">
        <v>27</v>
      </c>
      <c r="Q126" s="193" t="s">
        <v>265</v>
      </c>
      <c r="R126" s="147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spans="1:28">
      <c r="A127" s="66"/>
      <c r="B127" s="174" t="s">
        <v>276</v>
      </c>
      <c r="C127" s="68" t="s">
        <v>42</v>
      </c>
      <c r="D127" s="69"/>
      <c r="E127" s="69"/>
      <c r="F127" s="86"/>
      <c r="G127" s="86"/>
      <c r="H127" s="86">
        <f t="shared" si="18"/>
        <v>0</v>
      </c>
      <c r="I127" s="86">
        <f t="shared" si="18"/>
        <v>0</v>
      </c>
      <c r="J127" s="86"/>
      <c r="K127" s="69">
        <f t="shared" si="19"/>
        <v>0</v>
      </c>
      <c r="L127" s="69">
        <f t="shared" si="20"/>
        <v>0</v>
      </c>
      <c r="M127" s="133"/>
      <c r="N127" s="68">
        <v>500003033</v>
      </c>
      <c r="O127" s="187" t="s">
        <v>277</v>
      </c>
      <c r="P127" s="96" t="s">
        <v>27</v>
      </c>
      <c r="Q127" s="193" t="s">
        <v>265</v>
      </c>
      <c r="R127" s="147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spans="1:28">
      <c r="A128" s="66"/>
      <c r="B128" s="174" t="s">
        <v>278</v>
      </c>
      <c r="C128" s="68" t="s">
        <v>42</v>
      </c>
      <c r="D128" s="69"/>
      <c r="E128" s="69"/>
      <c r="F128" s="86"/>
      <c r="G128" s="86"/>
      <c r="H128" s="86">
        <f t="shared" si="18"/>
        <v>0</v>
      </c>
      <c r="I128" s="86">
        <f t="shared" si="18"/>
        <v>0</v>
      </c>
      <c r="J128" s="86"/>
      <c r="K128" s="69">
        <f t="shared" si="19"/>
        <v>0</v>
      </c>
      <c r="L128" s="69">
        <f t="shared" si="20"/>
        <v>0</v>
      </c>
      <c r="M128" s="133"/>
      <c r="N128" s="68">
        <v>500003034</v>
      </c>
      <c r="O128" s="187" t="s">
        <v>279</v>
      </c>
      <c r="P128" s="96" t="s">
        <v>27</v>
      </c>
      <c r="Q128" s="193" t="s">
        <v>265</v>
      </c>
      <c r="R128" s="147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2" spans="1:28">
      <c r="A129" s="66"/>
      <c r="B129" s="174" t="s">
        <v>280</v>
      </c>
      <c r="C129" s="68" t="s">
        <v>281</v>
      </c>
      <c r="D129" s="69"/>
      <c r="E129" s="69"/>
      <c r="F129" s="86"/>
      <c r="G129" s="86"/>
      <c r="H129" s="86">
        <f t="shared" si="18"/>
        <v>0</v>
      </c>
      <c r="I129" s="86">
        <f t="shared" si="18"/>
        <v>0</v>
      </c>
      <c r="J129" s="86"/>
      <c r="K129" s="69">
        <f t="shared" si="19"/>
        <v>0</v>
      </c>
      <c r="L129" s="69">
        <f t="shared" si="20"/>
        <v>0</v>
      </c>
      <c r="M129" s="133"/>
      <c r="N129" s="68">
        <v>500003035</v>
      </c>
      <c r="O129" s="187" t="s">
        <v>282</v>
      </c>
      <c r="P129" s="96" t="s">
        <v>27</v>
      </c>
      <c r="Q129" s="193" t="s">
        <v>265</v>
      </c>
      <c r="R129" s="147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27.6" spans="1:28">
      <c r="A130" s="66"/>
      <c r="B130" s="174" t="s">
        <v>283</v>
      </c>
      <c r="C130" s="68" t="s">
        <v>42</v>
      </c>
      <c r="D130" s="69"/>
      <c r="E130" s="69"/>
      <c r="F130" s="86"/>
      <c r="G130" s="86"/>
      <c r="H130" s="86">
        <f t="shared" si="18"/>
        <v>0</v>
      </c>
      <c r="I130" s="86">
        <f t="shared" si="18"/>
        <v>0</v>
      </c>
      <c r="J130" s="86"/>
      <c r="K130" s="69">
        <f t="shared" si="19"/>
        <v>0</v>
      </c>
      <c r="L130" s="69">
        <f t="shared" si="20"/>
        <v>0</v>
      </c>
      <c r="M130" s="133"/>
      <c r="N130" s="68">
        <v>500003036</v>
      </c>
      <c r="O130" s="187" t="s">
        <v>284</v>
      </c>
      <c r="P130" s="96" t="s">
        <v>27</v>
      </c>
      <c r="Q130" s="193" t="s">
        <v>265</v>
      </c>
      <c r="R130" s="147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41.4" spans="1:28">
      <c r="A131" s="66"/>
      <c r="B131" s="174" t="s">
        <v>285</v>
      </c>
      <c r="C131" s="68" t="s">
        <v>42</v>
      </c>
      <c r="D131" s="69"/>
      <c r="E131" s="69"/>
      <c r="F131" s="86"/>
      <c r="G131" s="86"/>
      <c r="H131" s="86">
        <f t="shared" si="18"/>
        <v>0</v>
      </c>
      <c r="I131" s="86">
        <f t="shared" si="18"/>
        <v>0</v>
      </c>
      <c r="J131" s="86"/>
      <c r="K131" s="69">
        <f t="shared" si="19"/>
        <v>0</v>
      </c>
      <c r="L131" s="69">
        <f t="shared" si="20"/>
        <v>0</v>
      </c>
      <c r="M131" s="133"/>
      <c r="N131" s="68">
        <v>500003037</v>
      </c>
      <c r="O131" s="187" t="s">
        <v>286</v>
      </c>
      <c r="P131" s="96" t="s">
        <v>27</v>
      </c>
      <c r="Q131" s="193" t="s">
        <v>265</v>
      </c>
      <c r="R131" s="147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spans="1:28">
      <c r="A132" s="66"/>
      <c r="B132" s="95" t="s">
        <v>287</v>
      </c>
      <c r="C132" s="68" t="s">
        <v>198</v>
      </c>
      <c r="D132" s="69"/>
      <c r="E132" s="69"/>
      <c r="F132" s="86"/>
      <c r="G132" s="86"/>
      <c r="H132" s="86">
        <f t="shared" si="18"/>
        <v>0</v>
      </c>
      <c r="I132" s="86">
        <f t="shared" si="18"/>
        <v>0</v>
      </c>
      <c r="J132" s="86"/>
      <c r="K132" s="69">
        <f t="shared" si="19"/>
        <v>0</v>
      </c>
      <c r="L132" s="69">
        <f t="shared" si="20"/>
        <v>0</v>
      </c>
      <c r="M132" s="133"/>
      <c r="N132" s="68">
        <v>500003038</v>
      </c>
      <c r="O132" s="187" t="s">
        <v>288</v>
      </c>
      <c r="P132" s="96" t="s">
        <v>27</v>
      </c>
      <c r="Q132" s="193" t="s">
        <v>265</v>
      </c>
      <c r="R132" s="147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spans="1:28">
      <c r="A133" s="66" t="s">
        <v>127</v>
      </c>
      <c r="B133" s="95" t="s">
        <v>289</v>
      </c>
      <c r="C133" s="68"/>
      <c r="D133" s="69"/>
      <c r="E133" s="69"/>
      <c r="F133" s="86"/>
      <c r="G133" s="86"/>
      <c r="H133" s="86">
        <f t="shared" si="18"/>
        <v>0</v>
      </c>
      <c r="I133" s="86">
        <f t="shared" si="18"/>
        <v>0</v>
      </c>
      <c r="J133" s="86"/>
      <c r="K133" s="69">
        <f t="shared" si="19"/>
        <v>0</v>
      </c>
      <c r="L133" s="123">
        <f t="shared" si="20"/>
        <v>0</v>
      </c>
      <c r="M133" s="133"/>
      <c r="N133" s="144"/>
      <c r="O133" s="144"/>
      <c r="P133" s="133"/>
      <c r="Q133" s="155"/>
      <c r="R133" s="147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spans="1:28">
      <c r="A134" s="66"/>
      <c r="B134" s="95" t="s">
        <v>290</v>
      </c>
      <c r="C134" s="68" t="s">
        <v>42</v>
      </c>
      <c r="D134" s="69"/>
      <c r="E134" s="69"/>
      <c r="F134" s="86"/>
      <c r="G134" s="86"/>
      <c r="H134" s="86">
        <f t="shared" si="18"/>
        <v>0</v>
      </c>
      <c r="I134" s="86">
        <f t="shared" si="18"/>
        <v>0</v>
      </c>
      <c r="J134" s="86"/>
      <c r="K134" s="69">
        <f t="shared" si="19"/>
        <v>0</v>
      </c>
      <c r="L134" s="123">
        <f t="shared" si="20"/>
        <v>0</v>
      </c>
      <c r="M134" s="133"/>
      <c r="N134" s="135">
        <v>200001017</v>
      </c>
      <c r="O134" s="187" t="s">
        <v>291</v>
      </c>
      <c r="P134" s="96" t="s">
        <v>32</v>
      </c>
      <c r="Q134" s="155"/>
      <c r="R134" s="147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spans="1:28">
      <c r="A135" s="66"/>
      <c r="B135" s="95" t="s">
        <v>292</v>
      </c>
      <c r="C135" s="68" t="s">
        <v>42</v>
      </c>
      <c r="D135" s="69"/>
      <c r="E135" s="69">
        <f>'BoM AE'!E89</f>
        <v>0</v>
      </c>
      <c r="F135" s="86"/>
      <c r="G135" s="86"/>
      <c r="H135" s="86">
        <f t="shared" si="18"/>
        <v>0</v>
      </c>
      <c r="I135" s="86">
        <f t="shared" si="18"/>
        <v>0</v>
      </c>
      <c r="J135" s="86"/>
      <c r="K135" s="69">
        <f t="shared" si="19"/>
        <v>0</v>
      </c>
      <c r="L135" s="123">
        <f t="shared" si="20"/>
        <v>0</v>
      </c>
      <c r="M135" s="175">
        <v>500002144</v>
      </c>
      <c r="N135" s="175">
        <v>500002144</v>
      </c>
      <c r="O135" s="187" t="s">
        <v>293</v>
      </c>
      <c r="P135" s="96" t="s">
        <v>27</v>
      </c>
      <c r="Q135" s="155"/>
      <c r="R135" s="147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spans="1:28">
      <c r="A136" s="66"/>
      <c r="B136" s="95" t="s">
        <v>294</v>
      </c>
      <c r="C136" s="68" t="s">
        <v>198</v>
      </c>
      <c r="D136" s="69"/>
      <c r="E136" s="69"/>
      <c r="F136" s="86"/>
      <c r="G136" s="86"/>
      <c r="H136" s="86">
        <f t="shared" si="18"/>
        <v>0</v>
      </c>
      <c r="I136" s="86">
        <f t="shared" si="18"/>
        <v>0</v>
      </c>
      <c r="J136" s="86"/>
      <c r="K136" s="69">
        <f t="shared" si="19"/>
        <v>0</v>
      </c>
      <c r="L136" s="123">
        <f t="shared" si="20"/>
        <v>0</v>
      </c>
      <c r="M136" s="133"/>
      <c r="N136" s="135">
        <v>200000994</v>
      </c>
      <c r="O136" s="136" t="s">
        <v>295</v>
      </c>
      <c r="P136" s="96" t="s">
        <v>32</v>
      </c>
      <c r="Q136" s="155"/>
      <c r="R136" s="147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spans="1:28">
      <c r="A137" s="66"/>
      <c r="B137" s="95" t="s">
        <v>296</v>
      </c>
      <c r="C137" s="68" t="s">
        <v>198</v>
      </c>
      <c r="D137" s="69"/>
      <c r="E137" s="69">
        <f>'BoM AE'!E91</f>
        <v>0</v>
      </c>
      <c r="F137" s="86"/>
      <c r="G137" s="86"/>
      <c r="H137" s="86">
        <f t="shared" si="18"/>
        <v>0</v>
      </c>
      <c r="I137" s="86">
        <f t="shared" si="18"/>
        <v>0</v>
      </c>
      <c r="J137" s="86"/>
      <c r="K137" s="69">
        <f t="shared" si="19"/>
        <v>0</v>
      </c>
      <c r="L137" s="123">
        <f t="shared" si="20"/>
        <v>0</v>
      </c>
      <c r="M137" s="175">
        <v>500002145</v>
      </c>
      <c r="N137" s="175">
        <v>500002145</v>
      </c>
      <c r="O137" s="187" t="s">
        <v>293</v>
      </c>
      <c r="P137" s="96" t="s">
        <v>27</v>
      </c>
      <c r="Q137" s="155"/>
      <c r="R137" s="147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spans="1:28">
      <c r="A138" s="66"/>
      <c r="B138" s="95" t="s">
        <v>297</v>
      </c>
      <c r="C138" s="68" t="s">
        <v>42</v>
      </c>
      <c r="D138" s="69"/>
      <c r="E138" s="69"/>
      <c r="F138" s="86"/>
      <c r="G138" s="86"/>
      <c r="H138" s="86">
        <f t="shared" si="18"/>
        <v>0</v>
      </c>
      <c r="I138" s="86">
        <f t="shared" si="18"/>
        <v>0</v>
      </c>
      <c r="J138" s="86"/>
      <c r="K138" s="69">
        <f t="shared" si="19"/>
        <v>0</v>
      </c>
      <c r="L138" s="123">
        <f t="shared" si="20"/>
        <v>0</v>
      </c>
      <c r="M138" s="175"/>
      <c r="N138" s="144">
        <v>200000510</v>
      </c>
      <c r="O138" s="187" t="s">
        <v>298</v>
      </c>
      <c r="P138" s="96" t="s">
        <v>32</v>
      </c>
      <c r="Q138" s="155"/>
      <c r="R138" s="147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spans="1:28">
      <c r="A139" s="66"/>
      <c r="B139" s="95" t="s">
        <v>299</v>
      </c>
      <c r="C139" s="68" t="s">
        <v>42</v>
      </c>
      <c r="D139" s="69"/>
      <c r="E139" s="69">
        <f>'BoM AE'!E92</f>
        <v>0</v>
      </c>
      <c r="F139" s="86"/>
      <c r="G139" s="86"/>
      <c r="H139" s="86">
        <f t="shared" si="18"/>
        <v>0</v>
      </c>
      <c r="I139" s="86">
        <f t="shared" si="18"/>
        <v>0</v>
      </c>
      <c r="J139" s="86"/>
      <c r="K139" s="69">
        <f t="shared" si="19"/>
        <v>0</v>
      </c>
      <c r="L139" s="123">
        <f t="shared" si="20"/>
        <v>0</v>
      </c>
      <c r="M139" s="175">
        <v>500002146</v>
      </c>
      <c r="N139" s="175">
        <v>500002146</v>
      </c>
      <c r="O139" s="187" t="s">
        <v>293</v>
      </c>
      <c r="P139" s="96" t="s">
        <v>27</v>
      </c>
      <c r="Q139" s="155"/>
      <c r="R139" s="147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spans="1:28">
      <c r="A140" s="66"/>
      <c r="B140" s="95" t="s">
        <v>300</v>
      </c>
      <c r="C140" s="68" t="s">
        <v>198</v>
      </c>
      <c r="D140" s="69"/>
      <c r="E140" s="69"/>
      <c r="F140" s="86"/>
      <c r="G140" s="86"/>
      <c r="H140" s="86">
        <f t="shared" si="18"/>
        <v>0</v>
      </c>
      <c r="I140" s="86">
        <f t="shared" si="18"/>
        <v>0</v>
      </c>
      <c r="J140" s="86"/>
      <c r="K140" s="69">
        <f t="shared" si="19"/>
        <v>0</v>
      </c>
      <c r="L140" s="123">
        <f t="shared" si="20"/>
        <v>0</v>
      </c>
      <c r="M140" s="133"/>
      <c r="N140" s="135">
        <v>200000282</v>
      </c>
      <c r="O140" s="106" t="s">
        <v>301</v>
      </c>
      <c r="P140" s="133"/>
      <c r="Q140" s="155"/>
      <c r="R140" s="147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spans="1:28">
      <c r="A141" s="66"/>
      <c r="B141" s="95" t="s">
        <v>302</v>
      </c>
      <c r="C141" s="68" t="s">
        <v>198</v>
      </c>
      <c r="D141" s="69"/>
      <c r="E141" s="69">
        <f>'BoM AE'!E92</f>
        <v>0</v>
      </c>
      <c r="F141" s="86"/>
      <c r="G141" s="86"/>
      <c r="H141" s="86">
        <f t="shared" si="18"/>
        <v>0</v>
      </c>
      <c r="I141" s="86">
        <f t="shared" si="18"/>
        <v>0</v>
      </c>
      <c r="J141" s="86"/>
      <c r="K141" s="69">
        <f t="shared" si="19"/>
        <v>0</v>
      </c>
      <c r="L141" s="123">
        <f t="shared" si="20"/>
        <v>0</v>
      </c>
      <c r="M141" s="175">
        <v>500002147</v>
      </c>
      <c r="N141" s="175">
        <v>500002147</v>
      </c>
      <c r="O141" s="187" t="s">
        <v>293</v>
      </c>
      <c r="P141" s="96" t="s">
        <v>27</v>
      </c>
      <c r="Q141" s="155"/>
      <c r="R141" s="147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spans="1:28">
      <c r="A142" s="66" t="s">
        <v>133</v>
      </c>
      <c r="B142" s="95" t="s">
        <v>303</v>
      </c>
      <c r="C142" s="68"/>
      <c r="D142" s="69"/>
      <c r="E142" s="69"/>
      <c r="F142" s="86"/>
      <c r="G142" s="86"/>
      <c r="H142" s="86">
        <f t="shared" si="18"/>
        <v>0</v>
      </c>
      <c r="I142" s="86">
        <f t="shared" si="18"/>
        <v>0</v>
      </c>
      <c r="J142" s="86"/>
      <c r="K142" s="69">
        <f t="shared" si="19"/>
        <v>0</v>
      </c>
      <c r="L142" s="123">
        <f t="shared" si="20"/>
        <v>0</v>
      </c>
      <c r="M142" s="133"/>
      <c r="N142" s="144"/>
      <c r="O142" s="144"/>
      <c r="P142" s="133"/>
      <c r="Q142" s="155"/>
      <c r="R142" s="147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spans="1:28">
      <c r="A143" s="66"/>
      <c r="B143" s="172" t="s">
        <v>304</v>
      </c>
      <c r="C143" s="68" t="s">
        <v>42</v>
      </c>
      <c r="D143" s="69"/>
      <c r="E143" s="69"/>
      <c r="F143" s="86"/>
      <c r="G143" s="86"/>
      <c r="H143" s="86">
        <f t="shared" si="18"/>
        <v>0</v>
      </c>
      <c r="I143" s="86">
        <f t="shared" si="18"/>
        <v>0</v>
      </c>
      <c r="J143" s="86"/>
      <c r="K143" s="69">
        <f t="shared" si="19"/>
        <v>0</v>
      </c>
      <c r="L143" s="123">
        <f t="shared" si="20"/>
        <v>0</v>
      </c>
      <c r="M143" s="133"/>
      <c r="N143" s="135">
        <v>200000600</v>
      </c>
      <c r="O143" s="195" t="s">
        <v>305</v>
      </c>
      <c r="P143" s="96" t="s">
        <v>32</v>
      </c>
      <c r="Q143" s="155"/>
      <c r="R143" s="147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spans="1:28">
      <c r="A144" s="66"/>
      <c r="B144" s="172" t="s">
        <v>306</v>
      </c>
      <c r="C144" s="68" t="s">
        <v>42</v>
      </c>
      <c r="D144" s="69"/>
      <c r="E144" s="69"/>
      <c r="F144" s="86"/>
      <c r="G144" s="86"/>
      <c r="H144" s="86">
        <f t="shared" si="18"/>
        <v>0</v>
      </c>
      <c r="I144" s="86">
        <f t="shared" si="18"/>
        <v>0</v>
      </c>
      <c r="J144" s="86"/>
      <c r="K144" s="69">
        <f t="shared" si="19"/>
        <v>0</v>
      </c>
      <c r="L144" s="123">
        <f t="shared" si="20"/>
        <v>0</v>
      </c>
      <c r="M144" s="175">
        <v>200001054</v>
      </c>
      <c r="N144" s="175">
        <v>200001054</v>
      </c>
      <c r="O144" s="187" t="s">
        <v>307</v>
      </c>
      <c r="P144" s="96" t="s">
        <v>32</v>
      </c>
      <c r="Q144" s="155"/>
      <c r="R144" s="147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spans="1:28">
      <c r="A145" s="66"/>
      <c r="B145" s="172" t="s">
        <v>308</v>
      </c>
      <c r="C145" s="68" t="s">
        <v>42</v>
      </c>
      <c r="D145" s="69"/>
      <c r="E145" s="69"/>
      <c r="F145" s="86"/>
      <c r="G145" s="86"/>
      <c r="H145" s="86">
        <f t="shared" si="18"/>
        <v>0</v>
      </c>
      <c r="I145" s="86">
        <f t="shared" si="18"/>
        <v>0</v>
      </c>
      <c r="J145" s="86"/>
      <c r="K145" s="69">
        <f t="shared" si="19"/>
        <v>0</v>
      </c>
      <c r="L145" s="123">
        <f t="shared" si="20"/>
        <v>0</v>
      </c>
      <c r="M145" s="133"/>
      <c r="N145" s="135">
        <v>200000292</v>
      </c>
      <c r="O145" s="187" t="s">
        <v>309</v>
      </c>
      <c r="P145" s="96" t="s">
        <v>32</v>
      </c>
      <c r="Q145" s="155"/>
      <c r="R145" s="147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spans="1:28">
      <c r="A146" s="66"/>
      <c r="B146" s="172" t="s">
        <v>310</v>
      </c>
      <c r="C146" s="68" t="s">
        <v>42</v>
      </c>
      <c r="D146" s="69"/>
      <c r="E146" s="69"/>
      <c r="F146" s="86"/>
      <c r="G146" s="86"/>
      <c r="H146" s="86">
        <f t="shared" si="18"/>
        <v>0</v>
      </c>
      <c r="I146" s="86">
        <f t="shared" si="18"/>
        <v>0</v>
      </c>
      <c r="J146" s="86"/>
      <c r="K146" s="69">
        <f t="shared" si="19"/>
        <v>0</v>
      </c>
      <c r="L146" s="123">
        <f t="shared" si="20"/>
        <v>0</v>
      </c>
      <c r="M146" s="133"/>
      <c r="N146" s="135">
        <v>200000742</v>
      </c>
      <c r="O146" s="136" t="s">
        <v>311</v>
      </c>
      <c r="P146" s="96" t="s">
        <v>32</v>
      </c>
      <c r="Q146" s="155"/>
      <c r="R146" s="147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spans="1:28">
      <c r="A147" s="66" t="s">
        <v>139</v>
      </c>
      <c r="B147" s="172" t="s">
        <v>312</v>
      </c>
      <c r="C147" s="68"/>
      <c r="D147" s="69"/>
      <c r="E147" s="69"/>
      <c r="F147" s="86"/>
      <c r="G147" s="86"/>
      <c r="H147" s="86">
        <f t="shared" si="18"/>
        <v>0</v>
      </c>
      <c r="I147" s="86">
        <f t="shared" si="18"/>
        <v>0</v>
      </c>
      <c r="J147" s="86"/>
      <c r="K147" s="69">
        <f t="shared" si="19"/>
        <v>0</v>
      </c>
      <c r="L147" s="123">
        <f t="shared" si="20"/>
        <v>0</v>
      </c>
      <c r="M147" s="133"/>
      <c r="N147" s="144"/>
      <c r="O147" s="144"/>
      <c r="P147" s="133"/>
      <c r="Q147" s="155"/>
      <c r="R147" s="147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spans="1:28">
      <c r="A148" s="66"/>
      <c r="B148" s="174" t="s">
        <v>313</v>
      </c>
      <c r="C148" s="68" t="s">
        <v>42</v>
      </c>
      <c r="D148" s="69"/>
      <c r="E148" s="69"/>
      <c r="F148" s="86"/>
      <c r="G148" s="86"/>
      <c r="H148" s="86">
        <f t="shared" si="18"/>
        <v>0</v>
      </c>
      <c r="I148" s="86">
        <f t="shared" si="18"/>
        <v>0</v>
      </c>
      <c r="J148" s="86"/>
      <c r="K148" s="69">
        <f t="shared" si="19"/>
        <v>0</v>
      </c>
      <c r="L148" s="123">
        <f t="shared" si="20"/>
        <v>0</v>
      </c>
      <c r="M148" s="133"/>
      <c r="N148" s="144">
        <v>200001050</v>
      </c>
      <c r="O148" s="187" t="s">
        <v>314</v>
      </c>
      <c r="P148" s="96" t="s">
        <v>32</v>
      </c>
      <c r="Q148" s="155"/>
      <c r="R148" s="147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spans="1:28">
      <c r="A149" s="66"/>
      <c r="B149" s="174" t="s">
        <v>315</v>
      </c>
      <c r="C149" s="68" t="s">
        <v>42</v>
      </c>
      <c r="D149" s="69"/>
      <c r="E149" s="69"/>
      <c r="F149" s="86"/>
      <c r="G149" s="86"/>
      <c r="H149" s="86">
        <f t="shared" si="18"/>
        <v>0</v>
      </c>
      <c r="I149" s="86">
        <f t="shared" si="18"/>
        <v>0</v>
      </c>
      <c r="J149" s="86"/>
      <c r="K149" s="69">
        <f t="shared" si="19"/>
        <v>0</v>
      </c>
      <c r="L149" s="123">
        <f t="shared" si="20"/>
        <v>0</v>
      </c>
      <c r="M149" s="133"/>
      <c r="N149" s="144">
        <v>200001051</v>
      </c>
      <c r="O149" s="187" t="s">
        <v>316</v>
      </c>
      <c r="P149" s="96" t="s">
        <v>32</v>
      </c>
      <c r="Q149" s="155"/>
      <c r="R149" s="147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spans="1:28">
      <c r="A150" s="66"/>
      <c r="B150" s="174" t="s">
        <v>317</v>
      </c>
      <c r="C150" s="68" t="s">
        <v>42</v>
      </c>
      <c r="D150" s="69"/>
      <c r="E150" s="69"/>
      <c r="F150" s="86"/>
      <c r="G150" s="86"/>
      <c r="H150" s="86">
        <f t="shared" si="18"/>
        <v>0</v>
      </c>
      <c r="I150" s="86">
        <f t="shared" si="18"/>
        <v>0</v>
      </c>
      <c r="J150" s="86"/>
      <c r="K150" s="69">
        <f t="shared" si="19"/>
        <v>0</v>
      </c>
      <c r="L150" s="123">
        <f t="shared" si="20"/>
        <v>0</v>
      </c>
      <c r="M150" s="133"/>
      <c r="N150" s="144">
        <v>200001052</v>
      </c>
      <c r="O150" s="187" t="s">
        <v>318</v>
      </c>
      <c r="P150" s="96" t="s">
        <v>32</v>
      </c>
      <c r="Q150" s="155"/>
      <c r="R150" s="147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spans="1:28">
      <c r="A151" s="66"/>
      <c r="B151" s="174" t="s">
        <v>319</v>
      </c>
      <c r="C151" s="68" t="s">
        <v>42</v>
      </c>
      <c r="D151" s="69"/>
      <c r="E151" s="69"/>
      <c r="F151" s="86"/>
      <c r="G151" s="86"/>
      <c r="H151" s="86">
        <f t="shared" si="18"/>
        <v>0</v>
      </c>
      <c r="I151" s="86">
        <f t="shared" si="18"/>
        <v>0</v>
      </c>
      <c r="J151" s="86"/>
      <c r="K151" s="69">
        <f t="shared" si="19"/>
        <v>0</v>
      </c>
      <c r="L151" s="123">
        <f t="shared" si="20"/>
        <v>0</v>
      </c>
      <c r="M151" s="133"/>
      <c r="N151" s="144">
        <v>200001053</v>
      </c>
      <c r="O151" s="187" t="s">
        <v>320</v>
      </c>
      <c r="P151" s="96" t="s">
        <v>32</v>
      </c>
      <c r="Q151" s="155"/>
      <c r="R151" s="147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spans="1:28">
      <c r="A152" s="66" t="s">
        <v>160</v>
      </c>
      <c r="B152" s="172" t="s">
        <v>321</v>
      </c>
      <c r="C152" s="68"/>
      <c r="D152" s="69"/>
      <c r="E152" s="69"/>
      <c r="F152" s="86"/>
      <c r="G152" s="86"/>
      <c r="H152" s="86">
        <f t="shared" si="18"/>
        <v>0</v>
      </c>
      <c r="I152" s="86">
        <f t="shared" si="18"/>
        <v>0</v>
      </c>
      <c r="J152" s="86"/>
      <c r="K152" s="69">
        <f t="shared" si="19"/>
        <v>0</v>
      </c>
      <c r="L152" s="123">
        <f t="shared" si="20"/>
        <v>0</v>
      </c>
      <c r="M152" s="133"/>
      <c r="N152" s="144"/>
      <c r="O152" s="144"/>
      <c r="P152" s="133"/>
      <c r="Q152" s="155"/>
      <c r="R152" s="147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spans="1:28">
      <c r="A153" s="66"/>
      <c r="B153" s="172" t="s">
        <v>322</v>
      </c>
      <c r="C153" s="68" t="s">
        <v>42</v>
      </c>
      <c r="D153" s="69"/>
      <c r="E153" s="69"/>
      <c r="F153" s="86"/>
      <c r="G153" s="86"/>
      <c r="H153" s="86">
        <f t="shared" si="18"/>
        <v>0</v>
      </c>
      <c r="I153" s="86">
        <f t="shared" si="18"/>
        <v>0</v>
      </c>
      <c r="J153" s="86"/>
      <c r="K153" s="69">
        <f t="shared" si="19"/>
        <v>0</v>
      </c>
      <c r="L153" s="123">
        <f t="shared" si="20"/>
        <v>0</v>
      </c>
      <c r="M153" s="133"/>
      <c r="N153" s="135">
        <v>200001022</v>
      </c>
      <c r="O153" s="136" t="s">
        <v>323</v>
      </c>
      <c r="P153" s="96" t="s">
        <v>32</v>
      </c>
      <c r="Q153" s="155"/>
      <c r="R153" s="147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spans="1:28">
      <c r="A154" s="66"/>
      <c r="B154" s="172" t="s">
        <v>324</v>
      </c>
      <c r="C154" s="68" t="s">
        <v>42</v>
      </c>
      <c r="D154" s="69"/>
      <c r="E154" s="69"/>
      <c r="F154" s="86"/>
      <c r="G154" s="86"/>
      <c r="H154" s="86">
        <f t="shared" si="18"/>
        <v>0</v>
      </c>
      <c r="I154" s="86">
        <f t="shared" si="18"/>
        <v>0</v>
      </c>
      <c r="J154" s="86"/>
      <c r="K154" s="69">
        <f t="shared" si="19"/>
        <v>0</v>
      </c>
      <c r="L154" s="123">
        <f t="shared" si="20"/>
        <v>0</v>
      </c>
      <c r="M154" s="133"/>
      <c r="N154" s="135">
        <v>200001035</v>
      </c>
      <c r="O154" s="136" t="s">
        <v>325</v>
      </c>
      <c r="P154" s="96" t="s">
        <v>32</v>
      </c>
      <c r="Q154" s="155"/>
      <c r="R154" s="147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spans="1:28">
      <c r="A155" s="66"/>
      <c r="B155" s="172" t="s">
        <v>326</v>
      </c>
      <c r="C155" s="68" t="s">
        <v>42</v>
      </c>
      <c r="D155" s="69"/>
      <c r="E155" s="69"/>
      <c r="F155" s="86"/>
      <c r="G155" s="86"/>
      <c r="H155" s="86">
        <f t="shared" ref="H155:I185" si="21">D155*F155</f>
        <v>0</v>
      </c>
      <c r="I155" s="86">
        <f t="shared" si="21"/>
        <v>0</v>
      </c>
      <c r="J155" s="86"/>
      <c r="K155" s="69">
        <f t="shared" si="19"/>
        <v>0</v>
      </c>
      <c r="L155" s="123">
        <f t="shared" si="20"/>
        <v>0</v>
      </c>
      <c r="M155" s="133"/>
      <c r="N155" s="135">
        <v>200001003</v>
      </c>
      <c r="O155" s="136" t="s">
        <v>327</v>
      </c>
      <c r="P155" s="96" t="s">
        <v>32</v>
      </c>
      <c r="Q155" s="155"/>
      <c r="R155" s="147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spans="1:28">
      <c r="A156" s="66"/>
      <c r="B156" s="172" t="s">
        <v>328</v>
      </c>
      <c r="C156" s="68" t="s">
        <v>42</v>
      </c>
      <c r="D156" s="69"/>
      <c r="E156" s="69"/>
      <c r="F156" s="86"/>
      <c r="G156" s="86"/>
      <c r="H156" s="86">
        <f t="shared" si="21"/>
        <v>0</v>
      </c>
      <c r="I156" s="86">
        <f t="shared" si="21"/>
        <v>0</v>
      </c>
      <c r="J156" s="86"/>
      <c r="K156" s="69">
        <f t="shared" si="19"/>
        <v>0</v>
      </c>
      <c r="L156" s="123">
        <f t="shared" si="20"/>
        <v>0</v>
      </c>
      <c r="M156" s="133"/>
      <c r="N156" s="135">
        <v>200001023</v>
      </c>
      <c r="O156" s="136" t="s">
        <v>329</v>
      </c>
      <c r="P156" s="96" t="s">
        <v>32</v>
      </c>
      <c r="Q156" s="155"/>
      <c r="R156" s="147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spans="1:28">
      <c r="A157" s="66"/>
      <c r="B157" s="172" t="s">
        <v>330</v>
      </c>
      <c r="C157" s="68" t="s">
        <v>42</v>
      </c>
      <c r="D157" s="69"/>
      <c r="E157" s="69"/>
      <c r="F157" s="86"/>
      <c r="G157" s="86"/>
      <c r="H157" s="86">
        <f t="shared" si="21"/>
        <v>0</v>
      </c>
      <c r="I157" s="86">
        <f t="shared" si="21"/>
        <v>0</v>
      </c>
      <c r="J157" s="86"/>
      <c r="K157" s="69">
        <f t="shared" si="19"/>
        <v>0</v>
      </c>
      <c r="L157" s="123">
        <f t="shared" si="20"/>
        <v>0</v>
      </c>
      <c r="M157" s="133"/>
      <c r="N157" s="135">
        <v>200001000</v>
      </c>
      <c r="O157" s="136" t="s">
        <v>331</v>
      </c>
      <c r="P157" s="96" t="s">
        <v>32</v>
      </c>
      <c r="Q157" s="155"/>
      <c r="R157" s="147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spans="1:28">
      <c r="A158" s="66"/>
      <c r="B158" s="172" t="s">
        <v>332</v>
      </c>
      <c r="C158" s="68" t="s">
        <v>42</v>
      </c>
      <c r="D158" s="69"/>
      <c r="E158" s="69"/>
      <c r="F158" s="86"/>
      <c r="G158" s="86"/>
      <c r="H158" s="86">
        <f t="shared" si="21"/>
        <v>0</v>
      </c>
      <c r="I158" s="86">
        <f t="shared" si="21"/>
        <v>0</v>
      </c>
      <c r="J158" s="86"/>
      <c r="K158" s="69">
        <f t="shared" si="19"/>
        <v>0</v>
      </c>
      <c r="L158" s="123">
        <f t="shared" si="20"/>
        <v>0</v>
      </c>
      <c r="M158" s="133"/>
      <c r="N158" s="135">
        <v>200000998</v>
      </c>
      <c r="O158" s="136" t="s">
        <v>333</v>
      </c>
      <c r="P158" s="96" t="s">
        <v>32</v>
      </c>
      <c r="Q158" s="155"/>
      <c r="R158" s="147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spans="1:28">
      <c r="A159" s="66"/>
      <c r="B159" s="172" t="s">
        <v>334</v>
      </c>
      <c r="C159" s="68" t="s">
        <v>42</v>
      </c>
      <c r="D159" s="69"/>
      <c r="E159" s="69"/>
      <c r="F159" s="86"/>
      <c r="G159" s="86"/>
      <c r="H159" s="86">
        <f t="shared" si="21"/>
        <v>0</v>
      </c>
      <c r="I159" s="86">
        <f t="shared" si="21"/>
        <v>0</v>
      </c>
      <c r="J159" s="86"/>
      <c r="K159" s="69">
        <f t="shared" si="19"/>
        <v>0</v>
      </c>
      <c r="L159" s="123">
        <f t="shared" si="20"/>
        <v>0</v>
      </c>
      <c r="M159" s="175">
        <v>200001016</v>
      </c>
      <c r="N159" s="175">
        <v>200001016</v>
      </c>
      <c r="O159" s="136" t="s">
        <v>335</v>
      </c>
      <c r="P159" s="96" t="s">
        <v>32</v>
      </c>
      <c r="Q159" s="155"/>
      <c r="R159" s="147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spans="1:28">
      <c r="A160" s="66" t="s">
        <v>165</v>
      </c>
      <c r="B160" s="172" t="s">
        <v>336</v>
      </c>
      <c r="C160" s="68"/>
      <c r="D160" s="69"/>
      <c r="E160" s="69"/>
      <c r="F160" s="86"/>
      <c r="G160" s="86"/>
      <c r="H160" s="86">
        <f t="shared" si="21"/>
        <v>0</v>
      </c>
      <c r="I160" s="86">
        <f t="shared" si="21"/>
        <v>0</v>
      </c>
      <c r="J160" s="86"/>
      <c r="K160" s="69">
        <f t="shared" si="19"/>
        <v>0</v>
      </c>
      <c r="L160" s="123">
        <f t="shared" si="20"/>
        <v>0</v>
      </c>
      <c r="M160" s="133"/>
      <c r="N160" s="144"/>
      <c r="O160" s="144"/>
      <c r="P160" s="133"/>
      <c r="Q160" s="155"/>
      <c r="R160" s="147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spans="1:28">
      <c r="A161" s="66"/>
      <c r="B161" s="172" t="s">
        <v>337</v>
      </c>
      <c r="C161" s="68" t="s">
        <v>42</v>
      </c>
      <c r="D161" s="69"/>
      <c r="E161" s="69"/>
      <c r="F161" s="86"/>
      <c r="G161" s="86"/>
      <c r="H161" s="86">
        <f t="shared" si="21"/>
        <v>0</v>
      </c>
      <c r="I161" s="86">
        <f t="shared" si="21"/>
        <v>0</v>
      </c>
      <c r="J161" s="86"/>
      <c r="K161" s="69">
        <f t="shared" si="19"/>
        <v>0</v>
      </c>
      <c r="L161" s="123">
        <f t="shared" si="20"/>
        <v>0</v>
      </c>
      <c r="M161" s="133"/>
      <c r="N161" s="135">
        <v>200001008</v>
      </c>
      <c r="O161" s="136" t="s">
        <v>338</v>
      </c>
      <c r="P161" s="96" t="s">
        <v>32</v>
      </c>
      <c r="Q161" s="155"/>
      <c r="R161" s="147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spans="1:28">
      <c r="A162" s="66"/>
      <c r="B162" s="172" t="s">
        <v>339</v>
      </c>
      <c r="C162" s="68" t="s">
        <v>42</v>
      </c>
      <c r="D162" s="69"/>
      <c r="E162" s="69">
        <f>D162</f>
        <v>0</v>
      </c>
      <c r="F162" s="86"/>
      <c r="G162" s="86"/>
      <c r="H162" s="86">
        <f t="shared" si="21"/>
        <v>0</v>
      </c>
      <c r="I162" s="86">
        <f t="shared" si="21"/>
        <v>0</v>
      </c>
      <c r="J162" s="86"/>
      <c r="K162" s="69">
        <f t="shared" si="19"/>
        <v>0</v>
      </c>
      <c r="L162" s="123">
        <f t="shared" si="20"/>
        <v>0</v>
      </c>
      <c r="M162" s="133"/>
      <c r="N162" s="135">
        <v>200001018</v>
      </c>
      <c r="O162" s="136" t="s">
        <v>340</v>
      </c>
      <c r="P162" s="96" t="s">
        <v>32</v>
      </c>
      <c r="Q162" s="155"/>
      <c r="R162" s="147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spans="1:28">
      <c r="A163" s="66"/>
      <c r="B163" s="172" t="s">
        <v>341</v>
      </c>
      <c r="C163" s="68" t="s">
        <v>198</v>
      </c>
      <c r="D163" s="69"/>
      <c r="E163" s="69"/>
      <c r="F163" s="86"/>
      <c r="G163" s="86"/>
      <c r="H163" s="86">
        <f t="shared" si="21"/>
        <v>0</v>
      </c>
      <c r="I163" s="86">
        <f t="shared" si="21"/>
        <v>0</v>
      </c>
      <c r="J163" s="86"/>
      <c r="K163" s="69">
        <f t="shared" si="19"/>
        <v>0</v>
      </c>
      <c r="L163" s="123">
        <f t="shared" si="20"/>
        <v>0</v>
      </c>
      <c r="M163" s="133"/>
      <c r="N163" s="135">
        <v>200000993</v>
      </c>
      <c r="O163" s="136" t="s">
        <v>342</v>
      </c>
      <c r="P163" s="96" t="s">
        <v>32</v>
      </c>
      <c r="Q163" s="155"/>
      <c r="R163" s="147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spans="1:28">
      <c r="A164" s="66"/>
      <c r="B164" s="172" t="s">
        <v>343</v>
      </c>
      <c r="C164" s="68" t="s">
        <v>198</v>
      </c>
      <c r="D164" s="69"/>
      <c r="E164" s="69"/>
      <c r="F164" s="86"/>
      <c r="G164" s="86"/>
      <c r="H164" s="86">
        <f t="shared" si="21"/>
        <v>0</v>
      </c>
      <c r="I164" s="86">
        <f t="shared" si="21"/>
        <v>0</v>
      </c>
      <c r="J164" s="86"/>
      <c r="K164" s="69">
        <f t="shared" si="19"/>
        <v>0</v>
      </c>
      <c r="L164" s="123">
        <f t="shared" si="20"/>
        <v>0</v>
      </c>
      <c r="M164" s="133"/>
      <c r="N164" s="135">
        <v>200001021</v>
      </c>
      <c r="O164" s="136" t="s">
        <v>344</v>
      </c>
      <c r="P164" s="96" t="s">
        <v>32</v>
      </c>
      <c r="Q164" s="155"/>
      <c r="R164" s="147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spans="1:28">
      <c r="A165" s="66"/>
      <c r="B165" s="174" t="s">
        <v>345</v>
      </c>
      <c r="C165" s="162" t="s">
        <v>198</v>
      </c>
      <c r="D165" s="69"/>
      <c r="E165" s="69"/>
      <c r="F165" s="86"/>
      <c r="G165" s="86"/>
      <c r="H165" s="86">
        <f t="shared" si="21"/>
        <v>0</v>
      </c>
      <c r="I165" s="86">
        <f t="shared" si="21"/>
        <v>0</v>
      </c>
      <c r="J165" s="86"/>
      <c r="K165" s="69">
        <f t="shared" si="19"/>
        <v>0</v>
      </c>
      <c r="L165" s="123">
        <f t="shared" si="20"/>
        <v>0</v>
      </c>
      <c r="M165" s="133"/>
      <c r="N165" s="135">
        <v>200001004</v>
      </c>
      <c r="O165" s="136" t="s">
        <v>346</v>
      </c>
      <c r="P165" s="96" t="s">
        <v>32</v>
      </c>
      <c r="Q165" s="155"/>
      <c r="R165" s="147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spans="1:28">
      <c r="A166" s="66"/>
      <c r="B166" s="174" t="s">
        <v>347</v>
      </c>
      <c r="C166" s="162" t="s">
        <v>198</v>
      </c>
      <c r="D166" s="69"/>
      <c r="E166" s="69"/>
      <c r="F166" s="86"/>
      <c r="G166" s="86"/>
      <c r="H166" s="86">
        <f t="shared" si="21"/>
        <v>0</v>
      </c>
      <c r="I166" s="86">
        <f t="shared" si="21"/>
        <v>0</v>
      </c>
      <c r="J166" s="86"/>
      <c r="K166" s="69">
        <f t="shared" si="19"/>
        <v>0</v>
      </c>
      <c r="L166" s="123">
        <f t="shared" si="20"/>
        <v>0</v>
      </c>
      <c r="M166" s="133"/>
      <c r="N166" s="135">
        <v>200000991</v>
      </c>
      <c r="O166" s="136" t="s">
        <v>348</v>
      </c>
      <c r="P166" s="96" t="s">
        <v>32</v>
      </c>
      <c r="Q166" s="155"/>
      <c r="R166" s="147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spans="1:28">
      <c r="A167" s="66"/>
      <c r="B167" s="174" t="s">
        <v>349</v>
      </c>
      <c r="C167" s="162" t="s">
        <v>198</v>
      </c>
      <c r="D167" s="69"/>
      <c r="E167" s="69"/>
      <c r="F167" s="86"/>
      <c r="G167" s="86"/>
      <c r="H167" s="86">
        <f t="shared" si="21"/>
        <v>0</v>
      </c>
      <c r="I167" s="86">
        <f t="shared" si="21"/>
        <v>0</v>
      </c>
      <c r="J167" s="86"/>
      <c r="K167" s="69">
        <f t="shared" si="19"/>
        <v>0</v>
      </c>
      <c r="L167" s="123">
        <f t="shared" si="20"/>
        <v>0</v>
      </c>
      <c r="M167" s="133"/>
      <c r="N167" s="135">
        <v>200000997</v>
      </c>
      <c r="O167" s="136" t="s">
        <v>350</v>
      </c>
      <c r="P167" s="96" t="s">
        <v>32</v>
      </c>
      <c r="Q167" s="155"/>
      <c r="R167" s="147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spans="1:28">
      <c r="A168" s="66"/>
      <c r="B168" s="172" t="s">
        <v>351</v>
      </c>
      <c r="C168" s="68" t="s">
        <v>198</v>
      </c>
      <c r="D168" s="69"/>
      <c r="E168" s="69"/>
      <c r="F168" s="86"/>
      <c r="G168" s="86"/>
      <c r="H168" s="86">
        <f t="shared" si="21"/>
        <v>0</v>
      </c>
      <c r="I168" s="86">
        <f t="shared" si="21"/>
        <v>0</v>
      </c>
      <c r="J168" s="86"/>
      <c r="K168" s="69">
        <f t="shared" si="19"/>
        <v>0</v>
      </c>
      <c r="L168" s="123">
        <f t="shared" si="20"/>
        <v>0</v>
      </c>
      <c r="M168" s="133"/>
      <c r="N168" s="135">
        <v>200001027</v>
      </c>
      <c r="O168" s="136" t="s">
        <v>352</v>
      </c>
      <c r="P168" s="96" t="s">
        <v>32</v>
      </c>
      <c r="Q168" s="155"/>
      <c r="R168" s="147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spans="1:28">
      <c r="A169" s="66"/>
      <c r="B169" s="172" t="s">
        <v>353</v>
      </c>
      <c r="C169" s="68" t="s">
        <v>198</v>
      </c>
      <c r="D169" s="69"/>
      <c r="E169" s="69"/>
      <c r="F169" s="86"/>
      <c r="G169" s="86"/>
      <c r="H169" s="86">
        <f t="shared" si="21"/>
        <v>0</v>
      </c>
      <c r="I169" s="86">
        <f t="shared" si="21"/>
        <v>0</v>
      </c>
      <c r="J169" s="86"/>
      <c r="K169" s="69">
        <f t="shared" si="19"/>
        <v>0</v>
      </c>
      <c r="L169" s="123">
        <f t="shared" si="20"/>
        <v>0</v>
      </c>
      <c r="M169" s="133"/>
      <c r="N169" s="135">
        <v>200001006</v>
      </c>
      <c r="O169" s="136" t="s">
        <v>354</v>
      </c>
      <c r="P169" s="96" t="s">
        <v>32</v>
      </c>
      <c r="Q169" s="155"/>
      <c r="R169" s="147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spans="1:28">
      <c r="A170" s="66"/>
      <c r="B170" s="172" t="s">
        <v>355</v>
      </c>
      <c r="C170" s="68" t="s">
        <v>198</v>
      </c>
      <c r="D170" s="69"/>
      <c r="E170" s="69"/>
      <c r="F170" s="86"/>
      <c r="G170" s="86"/>
      <c r="H170" s="86">
        <f t="shared" si="21"/>
        <v>0</v>
      </c>
      <c r="I170" s="86">
        <f t="shared" si="21"/>
        <v>0</v>
      </c>
      <c r="J170" s="86"/>
      <c r="K170" s="69">
        <f t="shared" si="19"/>
        <v>0</v>
      </c>
      <c r="L170" s="123">
        <f t="shared" si="20"/>
        <v>0</v>
      </c>
      <c r="M170" s="133"/>
      <c r="N170" s="135">
        <v>200001014</v>
      </c>
      <c r="O170" s="136" t="s">
        <v>356</v>
      </c>
      <c r="P170" s="96" t="s">
        <v>32</v>
      </c>
      <c r="Q170" s="155"/>
      <c r="R170" s="147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spans="1:28">
      <c r="A171" s="66"/>
      <c r="B171" s="172" t="s">
        <v>357</v>
      </c>
      <c r="C171" s="68" t="s">
        <v>198</v>
      </c>
      <c r="D171" s="69"/>
      <c r="E171" s="69"/>
      <c r="F171" s="86"/>
      <c r="G171" s="86"/>
      <c r="H171" s="86">
        <f t="shared" si="21"/>
        <v>0</v>
      </c>
      <c r="I171" s="86">
        <f t="shared" si="21"/>
        <v>0</v>
      </c>
      <c r="J171" s="86"/>
      <c r="K171" s="69">
        <f t="shared" si="19"/>
        <v>0</v>
      </c>
      <c r="L171" s="123">
        <f t="shared" si="20"/>
        <v>0</v>
      </c>
      <c r="M171" s="133"/>
      <c r="N171" s="135">
        <v>200000999</v>
      </c>
      <c r="O171" s="136" t="s">
        <v>358</v>
      </c>
      <c r="P171" s="96" t="s">
        <v>32</v>
      </c>
      <c r="Q171" s="155"/>
      <c r="R171" s="147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spans="1:28">
      <c r="A172" s="66"/>
      <c r="B172" s="95" t="s">
        <v>359</v>
      </c>
      <c r="C172" s="68" t="s">
        <v>42</v>
      </c>
      <c r="D172" s="69"/>
      <c r="E172" s="69"/>
      <c r="F172" s="86"/>
      <c r="G172" s="86"/>
      <c r="H172" s="86">
        <f t="shared" si="21"/>
        <v>0</v>
      </c>
      <c r="I172" s="86">
        <f t="shared" si="21"/>
        <v>0</v>
      </c>
      <c r="J172" s="86"/>
      <c r="K172" s="69">
        <f t="shared" si="19"/>
        <v>0</v>
      </c>
      <c r="L172" s="123">
        <f t="shared" si="20"/>
        <v>0</v>
      </c>
      <c r="M172" s="133"/>
      <c r="N172" s="135">
        <v>200000267</v>
      </c>
      <c r="O172" s="106" t="s">
        <v>360</v>
      </c>
      <c r="P172" s="96" t="s">
        <v>32</v>
      </c>
      <c r="Q172" s="155"/>
      <c r="R172" s="147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spans="1:28">
      <c r="A173" s="66" t="s">
        <v>196</v>
      </c>
      <c r="B173" s="95" t="s">
        <v>361</v>
      </c>
      <c r="C173" s="68"/>
      <c r="D173" s="69"/>
      <c r="E173" s="69"/>
      <c r="F173" s="86"/>
      <c r="G173" s="86"/>
      <c r="H173" s="86">
        <f t="shared" si="21"/>
        <v>0</v>
      </c>
      <c r="I173" s="86">
        <f t="shared" si="21"/>
        <v>0</v>
      </c>
      <c r="J173" s="86"/>
      <c r="K173" s="69">
        <f t="shared" si="19"/>
        <v>0</v>
      </c>
      <c r="L173" s="123">
        <f t="shared" si="20"/>
        <v>0</v>
      </c>
      <c r="M173" s="133"/>
      <c r="N173" s="144"/>
      <c r="O173" s="144"/>
      <c r="P173" s="133"/>
      <c r="Q173" s="155"/>
      <c r="R173" s="147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spans="1:28">
      <c r="A174" s="66"/>
      <c r="B174" s="95" t="s">
        <v>362</v>
      </c>
      <c r="C174" s="68" t="s">
        <v>72</v>
      </c>
      <c r="D174" s="69"/>
      <c r="E174" s="69"/>
      <c r="F174" s="86"/>
      <c r="G174" s="86"/>
      <c r="H174" s="86">
        <f t="shared" si="21"/>
        <v>0</v>
      </c>
      <c r="I174" s="86">
        <f t="shared" si="21"/>
        <v>0</v>
      </c>
      <c r="J174" s="86"/>
      <c r="K174" s="69">
        <f t="shared" si="19"/>
        <v>0</v>
      </c>
      <c r="L174" s="123">
        <f t="shared" si="20"/>
        <v>0</v>
      </c>
      <c r="M174" s="133"/>
      <c r="N174" s="135">
        <v>200000978</v>
      </c>
      <c r="O174" s="136" t="s">
        <v>363</v>
      </c>
      <c r="P174" s="96" t="s">
        <v>32</v>
      </c>
      <c r="Q174" s="155"/>
      <c r="R174" s="147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spans="1:28">
      <c r="A175" s="66"/>
      <c r="B175" s="95" t="s">
        <v>364</v>
      </c>
      <c r="C175" s="68" t="s">
        <v>72</v>
      </c>
      <c r="D175" s="69"/>
      <c r="E175" s="69">
        <f>'BoM AE'!E93</f>
        <v>0</v>
      </c>
      <c r="F175" s="86"/>
      <c r="G175" s="86"/>
      <c r="H175" s="86">
        <f t="shared" si="21"/>
        <v>0</v>
      </c>
      <c r="I175" s="86">
        <f t="shared" si="21"/>
        <v>0</v>
      </c>
      <c r="J175" s="86"/>
      <c r="K175" s="69">
        <f t="shared" si="19"/>
        <v>0</v>
      </c>
      <c r="L175" s="123">
        <f t="shared" si="20"/>
        <v>0</v>
      </c>
      <c r="M175" s="133"/>
      <c r="N175" s="135">
        <v>500002102</v>
      </c>
      <c r="O175" s="195" t="s">
        <v>365</v>
      </c>
      <c r="P175" s="96" t="s">
        <v>27</v>
      </c>
      <c r="Q175" s="155"/>
      <c r="R175" s="147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spans="1:28">
      <c r="A176" s="66"/>
      <c r="B176" s="95" t="s">
        <v>366</v>
      </c>
      <c r="C176" s="68" t="s">
        <v>72</v>
      </c>
      <c r="D176" s="69"/>
      <c r="E176" s="69"/>
      <c r="F176" s="86"/>
      <c r="G176" s="86"/>
      <c r="H176" s="86">
        <f t="shared" si="21"/>
        <v>0</v>
      </c>
      <c r="I176" s="86">
        <f t="shared" si="21"/>
        <v>0</v>
      </c>
      <c r="J176" s="86"/>
      <c r="K176" s="69">
        <f t="shared" si="19"/>
        <v>0</v>
      </c>
      <c r="L176" s="123">
        <f t="shared" si="20"/>
        <v>0</v>
      </c>
      <c r="M176" s="133"/>
      <c r="N176" s="66">
        <v>200000710</v>
      </c>
      <c r="O176" s="106" t="s">
        <v>367</v>
      </c>
      <c r="P176" s="96" t="s">
        <v>32</v>
      </c>
      <c r="Q176" s="155"/>
      <c r="R176" s="147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spans="1:28">
      <c r="A177" s="66"/>
      <c r="B177" s="95" t="s">
        <v>368</v>
      </c>
      <c r="C177" s="68" t="s">
        <v>72</v>
      </c>
      <c r="D177" s="69"/>
      <c r="E177" s="69">
        <f>'BoM AE'!E97</f>
        <v>0</v>
      </c>
      <c r="F177" s="86"/>
      <c r="G177" s="86"/>
      <c r="H177" s="86">
        <f t="shared" si="21"/>
        <v>0</v>
      </c>
      <c r="I177" s="86">
        <f t="shared" si="21"/>
        <v>0</v>
      </c>
      <c r="J177" s="86"/>
      <c r="K177" s="69">
        <f t="shared" si="19"/>
        <v>0</v>
      </c>
      <c r="L177" s="123">
        <f t="shared" si="20"/>
        <v>0</v>
      </c>
      <c r="M177" s="133"/>
      <c r="N177" s="145">
        <v>500002101</v>
      </c>
      <c r="O177" s="196" t="s">
        <v>369</v>
      </c>
      <c r="P177" s="96" t="s">
        <v>27</v>
      </c>
      <c r="Q177" s="155"/>
      <c r="R177" s="147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spans="1:28">
      <c r="A178" s="66"/>
      <c r="B178" s="95" t="s">
        <v>370</v>
      </c>
      <c r="C178" s="68" t="s">
        <v>72</v>
      </c>
      <c r="D178" s="69"/>
      <c r="E178" s="69"/>
      <c r="F178" s="86"/>
      <c r="G178" s="86"/>
      <c r="H178" s="86">
        <f t="shared" si="21"/>
        <v>0</v>
      </c>
      <c r="I178" s="86">
        <f t="shared" si="21"/>
        <v>0</v>
      </c>
      <c r="J178" s="86"/>
      <c r="K178" s="69">
        <f t="shared" si="19"/>
        <v>0</v>
      </c>
      <c r="L178" s="123">
        <f t="shared" si="20"/>
        <v>0</v>
      </c>
      <c r="M178" s="133"/>
      <c r="N178" s="135">
        <v>200001032</v>
      </c>
      <c r="O178" s="136" t="s">
        <v>371</v>
      </c>
      <c r="P178" s="96" t="s">
        <v>32</v>
      </c>
      <c r="Q178" s="155"/>
      <c r="R178" s="147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spans="1:28">
      <c r="A179" s="66"/>
      <c r="B179" s="95" t="s">
        <v>372</v>
      </c>
      <c r="C179" s="68" t="s">
        <v>72</v>
      </c>
      <c r="D179" s="69"/>
      <c r="E179" s="69">
        <f>'BoM AE'!E94</f>
        <v>0</v>
      </c>
      <c r="F179" s="86"/>
      <c r="G179" s="86"/>
      <c r="H179" s="86">
        <f t="shared" si="21"/>
        <v>0</v>
      </c>
      <c r="I179" s="86">
        <f t="shared" si="21"/>
        <v>0</v>
      </c>
      <c r="J179" s="86"/>
      <c r="K179" s="69">
        <f t="shared" si="19"/>
        <v>0</v>
      </c>
      <c r="L179" s="123">
        <f t="shared" si="20"/>
        <v>0</v>
      </c>
      <c r="M179" s="133"/>
      <c r="N179" s="135">
        <v>500002060</v>
      </c>
      <c r="O179" s="136" t="s">
        <v>373</v>
      </c>
      <c r="P179" s="96" t="s">
        <v>27</v>
      </c>
      <c r="Q179" s="155"/>
      <c r="R179" s="147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spans="1:28">
      <c r="A180" s="66" t="s">
        <v>374</v>
      </c>
      <c r="B180" s="95" t="s">
        <v>375</v>
      </c>
      <c r="C180" s="68" t="s">
        <v>72</v>
      </c>
      <c r="D180" s="69"/>
      <c r="E180" s="69"/>
      <c r="F180" s="86"/>
      <c r="G180" s="86"/>
      <c r="H180" s="86">
        <f t="shared" si="21"/>
        <v>0</v>
      </c>
      <c r="I180" s="86">
        <f t="shared" si="21"/>
        <v>0</v>
      </c>
      <c r="J180" s="86"/>
      <c r="K180" s="69">
        <f t="shared" si="19"/>
        <v>0</v>
      </c>
      <c r="L180" s="123">
        <f t="shared" si="20"/>
        <v>0</v>
      </c>
      <c r="M180" s="133"/>
      <c r="N180" s="66">
        <v>200000613</v>
      </c>
      <c r="O180" s="106" t="s">
        <v>376</v>
      </c>
      <c r="P180" s="96" t="s">
        <v>32</v>
      </c>
      <c r="Q180" s="155"/>
      <c r="R180" s="147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spans="1:28">
      <c r="A181" s="66"/>
      <c r="B181" s="95" t="s">
        <v>377</v>
      </c>
      <c r="C181" s="68" t="s">
        <v>72</v>
      </c>
      <c r="D181" s="69"/>
      <c r="E181" s="69">
        <f>'BoM AE'!E98</f>
        <v>0</v>
      </c>
      <c r="F181" s="86"/>
      <c r="G181" s="86"/>
      <c r="H181" s="86">
        <f t="shared" si="21"/>
        <v>0</v>
      </c>
      <c r="I181" s="86">
        <f t="shared" si="21"/>
        <v>0</v>
      </c>
      <c r="J181" s="86"/>
      <c r="K181" s="69">
        <f t="shared" si="19"/>
        <v>0</v>
      </c>
      <c r="L181" s="123">
        <f t="shared" si="20"/>
        <v>0</v>
      </c>
      <c r="M181" s="133"/>
      <c r="N181" s="135">
        <v>500001316</v>
      </c>
      <c r="O181" s="136" t="s">
        <v>378</v>
      </c>
      <c r="P181" s="96" t="s">
        <v>27</v>
      </c>
      <c r="Q181" s="155"/>
      <c r="R181" s="147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spans="1:28">
      <c r="A182" s="66"/>
      <c r="B182" s="95" t="s">
        <v>379</v>
      </c>
      <c r="C182" s="68" t="s">
        <v>72</v>
      </c>
      <c r="D182" s="69"/>
      <c r="E182" s="69"/>
      <c r="F182" s="86"/>
      <c r="G182" s="86"/>
      <c r="H182" s="86">
        <f t="shared" si="21"/>
        <v>0</v>
      </c>
      <c r="I182" s="86">
        <f t="shared" si="21"/>
        <v>0</v>
      </c>
      <c r="J182" s="86"/>
      <c r="K182" s="69">
        <f t="shared" si="19"/>
        <v>0</v>
      </c>
      <c r="L182" s="123">
        <f t="shared" si="20"/>
        <v>0</v>
      </c>
      <c r="M182" s="133"/>
      <c r="N182" s="135">
        <v>200000992</v>
      </c>
      <c r="O182" s="136" t="s">
        <v>380</v>
      </c>
      <c r="P182" s="96" t="s">
        <v>32</v>
      </c>
      <c r="Q182" s="155"/>
      <c r="R182" s="147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spans="1:28">
      <c r="A183" s="66"/>
      <c r="B183" s="95" t="s">
        <v>381</v>
      </c>
      <c r="C183" s="68" t="s">
        <v>72</v>
      </c>
      <c r="D183" s="69"/>
      <c r="E183" s="69">
        <f>'BoM AE'!E95</f>
        <v>0</v>
      </c>
      <c r="F183" s="86"/>
      <c r="G183" s="86"/>
      <c r="H183" s="86">
        <f t="shared" si="21"/>
        <v>0</v>
      </c>
      <c r="I183" s="86">
        <f t="shared" si="21"/>
        <v>0</v>
      </c>
      <c r="J183" s="86"/>
      <c r="K183" s="69">
        <f t="shared" si="19"/>
        <v>0</v>
      </c>
      <c r="L183" s="123">
        <f t="shared" si="20"/>
        <v>0</v>
      </c>
      <c r="M183" s="133"/>
      <c r="N183" s="135">
        <v>500002061</v>
      </c>
      <c r="O183" s="136" t="s">
        <v>382</v>
      </c>
      <c r="P183" s="96" t="s">
        <v>27</v>
      </c>
      <c r="Q183" s="155"/>
      <c r="R183" s="147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spans="1:28">
      <c r="A184" s="66"/>
      <c r="B184" s="95" t="s">
        <v>383</v>
      </c>
      <c r="C184" s="68" t="s">
        <v>72</v>
      </c>
      <c r="D184" s="69"/>
      <c r="E184" s="69"/>
      <c r="F184" s="86"/>
      <c r="G184" s="86"/>
      <c r="H184" s="86">
        <f t="shared" si="21"/>
        <v>0</v>
      </c>
      <c r="I184" s="86">
        <f t="shared" si="21"/>
        <v>0</v>
      </c>
      <c r="J184" s="86"/>
      <c r="K184" s="69">
        <f t="shared" si="19"/>
        <v>0</v>
      </c>
      <c r="L184" s="123">
        <f t="shared" si="20"/>
        <v>0</v>
      </c>
      <c r="M184" s="133"/>
      <c r="N184" s="135">
        <v>200001013</v>
      </c>
      <c r="O184" s="136" t="s">
        <v>384</v>
      </c>
      <c r="P184" s="96" t="s">
        <v>32</v>
      </c>
      <c r="Q184" s="155"/>
      <c r="R184" s="147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spans="1:28">
      <c r="A185" s="66"/>
      <c r="B185" s="95" t="s">
        <v>385</v>
      </c>
      <c r="C185" s="68" t="s">
        <v>72</v>
      </c>
      <c r="D185" s="69"/>
      <c r="E185" s="69">
        <f>'BoM AE'!E99</f>
        <v>0</v>
      </c>
      <c r="F185" s="86"/>
      <c r="G185" s="86"/>
      <c r="H185" s="86">
        <f t="shared" si="21"/>
        <v>0</v>
      </c>
      <c r="I185" s="86">
        <f t="shared" si="21"/>
        <v>0</v>
      </c>
      <c r="J185" s="86"/>
      <c r="K185" s="69">
        <f t="shared" si="19"/>
        <v>0</v>
      </c>
      <c r="L185" s="123">
        <f t="shared" si="20"/>
        <v>0</v>
      </c>
      <c r="M185" s="133"/>
      <c r="N185" s="135">
        <v>500002063</v>
      </c>
      <c r="O185" s="136" t="s">
        <v>386</v>
      </c>
      <c r="P185" s="96" t="s">
        <v>27</v>
      </c>
      <c r="Q185" s="155"/>
      <c r="R185" s="147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spans="1:28">
      <c r="A186" s="66"/>
      <c r="B186" s="95" t="s">
        <v>387</v>
      </c>
      <c r="C186" s="68" t="s">
        <v>72</v>
      </c>
      <c r="D186" s="69"/>
      <c r="E186" s="69"/>
      <c r="F186" s="86"/>
      <c r="G186" s="86"/>
      <c r="H186" s="86"/>
      <c r="I186" s="86"/>
      <c r="J186" s="86"/>
      <c r="K186" s="69">
        <f>D186+E186</f>
        <v>0</v>
      </c>
      <c r="L186" s="123">
        <f>F186+G186</f>
        <v>0</v>
      </c>
      <c r="M186" s="133"/>
      <c r="N186" s="135">
        <v>500003621</v>
      </c>
      <c r="O186" s="136" t="s">
        <v>388</v>
      </c>
      <c r="P186" s="96"/>
      <c r="Q186" s="155"/>
      <c r="R186" s="147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spans="1:28">
      <c r="A187" s="66"/>
      <c r="B187" s="95" t="s">
        <v>389</v>
      </c>
      <c r="C187" s="68" t="s">
        <v>72</v>
      </c>
      <c r="D187" s="69"/>
      <c r="E187" s="69"/>
      <c r="F187" s="86"/>
      <c r="G187" s="86"/>
      <c r="H187" s="86"/>
      <c r="I187" s="86"/>
      <c r="J187" s="86"/>
      <c r="K187" s="69">
        <f>D187+E187</f>
        <v>0</v>
      </c>
      <c r="L187" s="123">
        <f>F187+G187</f>
        <v>0</v>
      </c>
      <c r="M187" s="133"/>
      <c r="N187" s="135">
        <v>500003622</v>
      </c>
      <c r="O187" s="136" t="s">
        <v>390</v>
      </c>
      <c r="P187" s="96"/>
      <c r="Q187" s="155"/>
      <c r="R187" s="147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spans="1:28">
      <c r="A188" s="66"/>
      <c r="B188" s="95" t="s">
        <v>391</v>
      </c>
      <c r="C188" s="68" t="s">
        <v>198</v>
      </c>
      <c r="D188" s="69"/>
      <c r="E188" s="69">
        <f>'BoM AE'!E100</f>
        <v>0</v>
      </c>
      <c r="F188" s="86"/>
      <c r="G188" s="86"/>
      <c r="H188" s="86">
        <f>D188*F188</f>
        <v>0</v>
      </c>
      <c r="I188" s="86">
        <f>E188*G188</f>
        <v>0</v>
      </c>
      <c r="J188" s="86"/>
      <c r="K188" s="69">
        <f t="shared" ref="K188:K205" si="22">D188+E188</f>
        <v>0</v>
      </c>
      <c r="L188" s="123">
        <f t="shared" ref="L188:L205" si="23">F188+G188</f>
        <v>0</v>
      </c>
      <c r="M188" s="133"/>
      <c r="N188" s="135">
        <v>200000977</v>
      </c>
      <c r="O188" s="136" t="s">
        <v>392</v>
      </c>
      <c r="P188" s="96" t="s">
        <v>32</v>
      </c>
      <c r="Q188" s="155"/>
      <c r="R188" s="147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spans="1:28">
      <c r="A189" s="66" t="s">
        <v>393</v>
      </c>
      <c r="B189" s="95" t="s">
        <v>394</v>
      </c>
      <c r="C189" s="68" t="s">
        <v>72</v>
      </c>
      <c r="D189" s="69"/>
      <c r="E189" s="69"/>
      <c r="F189" s="86"/>
      <c r="G189" s="86"/>
      <c r="H189" s="86">
        <f t="shared" ref="H189:I205" si="24">D189*F189</f>
        <v>0</v>
      </c>
      <c r="I189" s="86">
        <f t="shared" si="24"/>
        <v>0</v>
      </c>
      <c r="J189" s="86"/>
      <c r="K189" s="69">
        <f t="shared" si="22"/>
        <v>0</v>
      </c>
      <c r="L189" s="123">
        <f t="shared" si="23"/>
        <v>0</v>
      </c>
      <c r="M189" s="133"/>
      <c r="N189" s="135">
        <v>200001034</v>
      </c>
      <c r="O189" s="136" t="s">
        <v>395</v>
      </c>
      <c r="P189" s="96" t="s">
        <v>32</v>
      </c>
      <c r="Q189" s="155"/>
      <c r="R189" s="147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spans="1:28">
      <c r="A190" s="66" t="s">
        <v>203</v>
      </c>
      <c r="B190" s="172" t="s">
        <v>396</v>
      </c>
      <c r="C190" s="194" t="s">
        <v>42</v>
      </c>
      <c r="D190" s="69"/>
      <c r="E190" s="69"/>
      <c r="F190" s="86"/>
      <c r="G190" s="86"/>
      <c r="H190" s="86">
        <f t="shared" si="24"/>
        <v>0</v>
      </c>
      <c r="I190" s="86">
        <f t="shared" si="24"/>
        <v>0</v>
      </c>
      <c r="J190" s="86"/>
      <c r="K190" s="69">
        <f t="shared" si="22"/>
        <v>0</v>
      </c>
      <c r="L190" s="123">
        <f t="shared" si="23"/>
        <v>0</v>
      </c>
      <c r="M190" s="133"/>
      <c r="N190" s="66">
        <v>200000181</v>
      </c>
      <c r="O190" s="106" t="s">
        <v>397</v>
      </c>
      <c r="P190" s="96" t="s">
        <v>32</v>
      </c>
      <c r="Q190" s="155"/>
      <c r="R190" s="147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spans="1:28">
      <c r="A191" s="66" t="s">
        <v>209</v>
      </c>
      <c r="B191" s="172" t="s">
        <v>398</v>
      </c>
      <c r="C191" s="68" t="s">
        <v>198</v>
      </c>
      <c r="D191" s="69"/>
      <c r="E191" s="69"/>
      <c r="F191" s="86"/>
      <c r="G191" s="86"/>
      <c r="H191" s="86">
        <f t="shared" si="24"/>
        <v>0</v>
      </c>
      <c r="I191" s="86">
        <f t="shared" si="24"/>
        <v>0</v>
      </c>
      <c r="J191" s="86"/>
      <c r="K191" s="69">
        <f t="shared" si="22"/>
        <v>0</v>
      </c>
      <c r="L191" s="123">
        <f t="shared" si="23"/>
        <v>0</v>
      </c>
      <c r="M191" s="133"/>
      <c r="N191" s="66">
        <v>200000160</v>
      </c>
      <c r="O191" s="195" t="s">
        <v>399</v>
      </c>
      <c r="P191" s="96" t="s">
        <v>32</v>
      </c>
      <c r="Q191" s="155"/>
      <c r="R191" s="147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spans="1:28">
      <c r="A192" s="66" t="s">
        <v>212</v>
      </c>
      <c r="B192" s="172" t="s">
        <v>400</v>
      </c>
      <c r="C192" s="194" t="s">
        <v>42</v>
      </c>
      <c r="D192" s="69"/>
      <c r="E192" s="69"/>
      <c r="F192" s="86"/>
      <c r="G192" s="86"/>
      <c r="H192" s="86">
        <f t="shared" si="24"/>
        <v>0</v>
      </c>
      <c r="I192" s="86">
        <f t="shared" si="24"/>
        <v>0</v>
      </c>
      <c r="J192" s="86"/>
      <c r="K192" s="69">
        <f t="shared" si="22"/>
        <v>0</v>
      </c>
      <c r="L192" s="123">
        <f t="shared" si="23"/>
        <v>0</v>
      </c>
      <c r="M192" s="133"/>
      <c r="N192" s="66">
        <v>200000310</v>
      </c>
      <c r="O192" s="106" t="s">
        <v>401</v>
      </c>
      <c r="P192" s="96" t="s">
        <v>32</v>
      </c>
      <c r="Q192" s="155"/>
      <c r="R192" s="147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spans="1:28">
      <c r="A193" s="66" t="s">
        <v>215</v>
      </c>
      <c r="B193" s="172" t="s">
        <v>402</v>
      </c>
      <c r="C193" s="68" t="s">
        <v>42</v>
      </c>
      <c r="D193" s="69"/>
      <c r="E193" s="69"/>
      <c r="F193" s="86"/>
      <c r="G193" s="86"/>
      <c r="H193" s="86">
        <f t="shared" si="24"/>
        <v>0</v>
      </c>
      <c r="I193" s="86">
        <f t="shared" si="24"/>
        <v>0</v>
      </c>
      <c r="J193" s="86"/>
      <c r="K193" s="69">
        <f t="shared" si="22"/>
        <v>0</v>
      </c>
      <c r="L193" s="123">
        <f t="shared" si="23"/>
        <v>0</v>
      </c>
      <c r="M193" s="133"/>
      <c r="N193" s="135">
        <v>200000995</v>
      </c>
      <c r="O193" s="136" t="s">
        <v>403</v>
      </c>
      <c r="P193" s="96" t="s">
        <v>32</v>
      </c>
      <c r="Q193" s="155"/>
      <c r="R193" s="147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spans="1:28">
      <c r="A194" s="66" t="s">
        <v>218</v>
      </c>
      <c r="B194" s="172" t="s">
        <v>404</v>
      </c>
      <c r="C194" s="68" t="s">
        <v>198</v>
      </c>
      <c r="D194" s="69"/>
      <c r="E194" s="69"/>
      <c r="F194" s="86"/>
      <c r="G194" s="86"/>
      <c r="H194" s="86">
        <f t="shared" si="24"/>
        <v>0</v>
      </c>
      <c r="I194" s="86">
        <f t="shared" si="24"/>
        <v>0</v>
      </c>
      <c r="J194" s="86"/>
      <c r="K194" s="69">
        <f t="shared" si="22"/>
        <v>0</v>
      </c>
      <c r="L194" s="123">
        <f t="shared" si="23"/>
        <v>0</v>
      </c>
      <c r="M194" s="133"/>
      <c r="N194" s="66">
        <v>500000993</v>
      </c>
      <c r="O194" s="106" t="s">
        <v>405</v>
      </c>
      <c r="P194" s="96" t="s">
        <v>27</v>
      </c>
      <c r="Q194" s="155"/>
      <c r="R194" s="147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spans="1:28">
      <c r="A195" s="66" t="s">
        <v>221</v>
      </c>
      <c r="B195" s="172" t="s">
        <v>406</v>
      </c>
      <c r="C195" s="68" t="s">
        <v>198</v>
      </c>
      <c r="D195" s="69"/>
      <c r="E195" s="69"/>
      <c r="F195" s="86"/>
      <c r="G195" s="86"/>
      <c r="H195" s="86">
        <f t="shared" si="24"/>
        <v>0</v>
      </c>
      <c r="I195" s="86">
        <f t="shared" si="24"/>
        <v>0</v>
      </c>
      <c r="J195" s="86"/>
      <c r="K195" s="69">
        <f t="shared" si="22"/>
        <v>0</v>
      </c>
      <c r="L195" s="123">
        <f t="shared" si="23"/>
        <v>0</v>
      </c>
      <c r="M195" s="133"/>
      <c r="N195" s="135">
        <v>500002067</v>
      </c>
      <c r="O195" s="136" t="s">
        <v>407</v>
      </c>
      <c r="P195" s="96" t="s">
        <v>27</v>
      </c>
      <c r="Q195" s="155"/>
      <c r="R195" s="147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spans="1:28">
      <c r="A196" s="66" t="s">
        <v>224</v>
      </c>
      <c r="B196" s="197" t="s">
        <v>408</v>
      </c>
      <c r="C196" s="68" t="s">
        <v>72</v>
      </c>
      <c r="D196" s="69"/>
      <c r="E196" s="69"/>
      <c r="F196" s="86"/>
      <c r="G196" s="86"/>
      <c r="H196" s="86">
        <f t="shared" si="24"/>
        <v>0</v>
      </c>
      <c r="I196" s="86">
        <f t="shared" si="24"/>
        <v>0</v>
      </c>
      <c r="J196" s="86"/>
      <c r="K196" s="69">
        <f t="shared" si="22"/>
        <v>0</v>
      </c>
      <c r="L196" s="123">
        <f t="shared" si="23"/>
        <v>0</v>
      </c>
      <c r="M196" s="133"/>
      <c r="N196" s="66">
        <v>500002103</v>
      </c>
      <c r="O196" s="136" t="s">
        <v>409</v>
      </c>
      <c r="P196" s="96" t="s">
        <v>27</v>
      </c>
      <c r="Q196" s="155"/>
      <c r="R196" s="147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spans="1:28">
      <c r="A197" s="66" t="s">
        <v>410</v>
      </c>
      <c r="B197" s="197" t="s">
        <v>411</v>
      </c>
      <c r="C197" s="198" t="s">
        <v>42</v>
      </c>
      <c r="D197" s="69"/>
      <c r="E197" s="69"/>
      <c r="F197" s="86"/>
      <c r="G197" s="86"/>
      <c r="H197" s="86">
        <f t="shared" si="24"/>
        <v>0</v>
      </c>
      <c r="I197" s="86">
        <f t="shared" si="24"/>
        <v>0</v>
      </c>
      <c r="J197" s="86"/>
      <c r="K197" s="69">
        <f t="shared" si="22"/>
        <v>0</v>
      </c>
      <c r="L197" s="123">
        <f t="shared" si="23"/>
        <v>0</v>
      </c>
      <c r="M197" s="133" t="s">
        <v>412</v>
      </c>
      <c r="N197" s="66">
        <v>500002148</v>
      </c>
      <c r="O197" s="125" t="s">
        <v>413</v>
      </c>
      <c r="P197" s="96" t="s">
        <v>27</v>
      </c>
      <c r="Q197" s="155"/>
      <c r="R197" s="147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spans="1:28">
      <c r="A198" s="66" t="s">
        <v>414</v>
      </c>
      <c r="B198" s="197" t="s">
        <v>415</v>
      </c>
      <c r="C198" s="198" t="s">
        <v>42</v>
      </c>
      <c r="D198" s="69"/>
      <c r="E198" s="69"/>
      <c r="F198" s="86"/>
      <c r="G198" s="86"/>
      <c r="H198" s="86">
        <f t="shared" si="24"/>
        <v>0</v>
      </c>
      <c r="I198" s="86">
        <f t="shared" si="24"/>
        <v>0</v>
      </c>
      <c r="J198" s="86"/>
      <c r="K198" s="69">
        <f t="shared" si="22"/>
        <v>0</v>
      </c>
      <c r="L198" s="123">
        <f t="shared" si="23"/>
        <v>0</v>
      </c>
      <c r="M198" s="133" t="s">
        <v>416</v>
      </c>
      <c r="N198" s="66">
        <v>500002149</v>
      </c>
      <c r="O198" s="125" t="s">
        <v>413</v>
      </c>
      <c r="P198" s="96" t="s">
        <v>27</v>
      </c>
      <c r="Q198" s="155"/>
      <c r="R198" s="147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spans="1:28">
      <c r="A199" s="66" t="s">
        <v>417</v>
      </c>
      <c r="B199" s="197" t="s">
        <v>418</v>
      </c>
      <c r="C199" s="198" t="s">
        <v>42</v>
      </c>
      <c r="D199" s="69"/>
      <c r="E199" s="69"/>
      <c r="F199" s="86"/>
      <c r="G199" s="86"/>
      <c r="H199" s="86">
        <f t="shared" si="24"/>
        <v>0</v>
      </c>
      <c r="I199" s="86">
        <f t="shared" si="24"/>
        <v>0</v>
      </c>
      <c r="J199" s="86"/>
      <c r="K199" s="69">
        <f t="shared" si="22"/>
        <v>0</v>
      </c>
      <c r="L199" s="123">
        <f t="shared" si="23"/>
        <v>0</v>
      </c>
      <c r="M199" s="133" t="s">
        <v>419</v>
      </c>
      <c r="N199" s="66">
        <v>500002150</v>
      </c>
      <c r="O199" s="125" t="s">
        <v>420</v>
      </c>
      <c r="P199" s="96" t="s">
        <v>27</v>
      </c>
      <c r="Q199" s="155"/>
      <c r="R199" s="147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spans="1:28">
      <c r="A200" s="66" t="s">
        <v>421</v>
      </c>
      <c r="B200" s="197" t="s">
        <v>422</v>
      </c>
      <c r="C200" s="198" t="s">
        <v>42</v>
      </c>
      <c r="D200" s="69"/>
      <c r="E200" s="69"/>
      <c r="F200" s="86"/>
      <c r="G200" s="86"/>
      <c r="H200" s="86">
        <f t="shared" si="24"/>
        <v>0</v>
      </c>
      <c r="I200" s="86">
        <f t="shared" si="24"/>
        <v>0</v>
      </c>
      <c r="J200" s="86"/>
      <c r="K200" s="69">
        <f t="shared" si="22"/>
        <v>0</v>
      </c>
      <c r="L200" s="123">
        <f t="shared" si="23"/>
        <v>0</v>
      </c>
      <c r="M200" s="133" t="s">
        <v>423</v>
      </c>
      <c r="N200" s="66">
        <v>500002151</v>
      </c>
      <c r="O200" s="125" t="s">
        <v>413</v>
      </c>
      <c r="P200" s="96" t="s">
        <v>27</v>
      </c>
      <c r="Q200" s="155"/>
      <c r="R200" s="147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spans="1:28">
      <c r="A201" s="66" t="s">
        <v>200</v>
      </c>
      <c r="B201" s="197" t="s">
        <v>424</v>
      </c>
      <c r="C201" s="198" t="s">
        <v>42</v>
      </c>
      <c r="D201" s="69"/>
      <c r="E201" s="69"/>
      <c r="F201" s="86"/>
      <c r="G201" s="86"/>
      <c r="H201" s="86">
        <f t="shared" si="24"/>
        <v>0</v>
      </c>
      <c r="I201" s="86">
        <f t="shared" si="24"/>
        <v>0</v>
      </c>
      <c r="J201" s="86"/>
      <c r="K201" s="69">
        <f t="shared" si="22"/>
        <v>0</v>
      </c>
      <c r="L201" s="123">
        <f t="shared" si="23"/>
        <v>0</v>
      </c>
      <c r="M201" s="133" t="s">
        <v>425</v>
      </c>
      <c r="N201" s="66">
        <v>500002152</v>
      </c>
      <c r="O201" s="125" t="s">
        <v>420</v>
      </c>
      <c r="P201" s="96" t="s">
        <v>27</v>
      </c>
      <c r="Q201" s="155"/>
      <c r="R201" s="147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spans="1:28">
      <c r="A202" s="66" t="s">
        <v>426</v>
      </c>
      <c r="B202" s="197" t="s">
        <v>427</v>
      </c>
      <c r="C202" s="198" t="s">
        <v>42</v>
      </c>
      <c r="D202" s="69"/>
      <c r="E202" s="69"/>
      <c r="F202" s="86"/>
      <c r="G202" s="86"/>
      <c r="H202" s="86">
        <f t="shared" si="24"/>
        <v>0</v>
      </c>
      <c r="I202" s="86">
        <f t="shared" si="24"/>
        <v>0</v>
      </c>
      <c r="J202" s="86"/>
      <c r="K202" s="69">
        <f t="shared" si="22"/>
        <v>0</v>
      </c>
      <c r="L202" s="123">
        <f t="shared" si="23"/>
        <v>0</v>
      </c>
      <c r="M202" s="133" t="s">
        <v>428</v>
      </c>
      <c r="N202" s="66">
        <v>500002153</v>
      </c>
      <c r="O202" s="125" t="s">
        <v>420</v>
      </c>
      <c r="P202" s="96" t="s">
        <v>27</v>
      </c>
      <c r="Q202" s="155"/>
      <c r="R202" s="147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spans="1:28">
      <c r="A203" s="66" t="s">
        <v>429</v>
      </c>
      <c r="B203" s="197" t="s">
        <v>430</v>
      </c>
      <c r="C203" s="198" t="s">
        <v>42</v>
      </c>
      <c r="D203" s="69"/>
      <c r="E203" s="69"/>
      <c r="F203" s="86"/>
      <c r="G203" s="86"/>
      <c r="H203" s="86">
        <f t="shared" si="24"/>
        <v>0</v>
      </c>
      <c r="I203" s="86">
        <f t="shared" si="24"/>
        <v>0</v>
      </c>
      <c r="J203" s="86"/>
      <c r="K203" s="69">
        <f t="shared" si="22"/>
        <v>0</v>
      </c>
      <c r="L203" s="123">
        <f t="shared" si="23"/>
        <v>0</v>
      </c>
      <c r="M203" s="133" t="s">
        <v>431</v>
      </c>
      <c r="N203" s="66">
        <v>500002154</v>
      </c>
      <c r="O203" s="125" t="s">
        <v>420</v>
      </c>
      <c r="P203" s="96" t="s">
        <v>27</v>
      </c>
      <c r="Q203" s="155"/>
      <c r="R203" s="147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spans="1:28">
      <c r="A204" s="66" t="s">
        <v>432</v>
      </c>
      <c r="B204" s="197" t="s">
        <v>433</v>
      </c>
      <c r="C204" s="198" t="s">
        <v>42</v>
      </c>
      <c r="D204" s="69"/>
      <c r="E204" s="69">
        <v>0</v>
      </c>
      <c r="F204" s="199"/>
      <c r="G204" s="200"/>
      <c r="H204" s="199">
        <f t="shared" si="24"/>
        <v>0</v>
      </c>
      <c r="I204" s="199">
        <f t="shared" si="24"/>
        <v>0</v>
      </c>
      <c r="J204" s="199"/>
      <c r="K204" s="69">
        <f t="shared" si="22"/>
        <v>0</v>
      </c>
      <c r="L204" s="123">
        <f t="shared" si="23"/>
        <v>0</v>
      </c>
      <c r="M204" s="144">
        <v>500002155</v>
      </c>
      <c r="N204" s="66">
        <v>500002155</v>
      </c>
      <c r="O204" s="125" t="s">
        <v>420</v>
      </c>
      <c r="P204" s="96" t="s">
        <v>27</v>
      </c>
      <c r="Q204" s="155"/>
      <c r="R204" s="147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spans="1:28">
      <c r="A205" s="66" t="s">
        <v>434</v>
      </c>
      <c r="B205" s="197" t="s">
        <v>435</v>
      </c>
      <c r="C205" s="198" t="s">
        <v>42</v>
      </c>
      <c r="D205" s="69"/>
      <c r="E205" s="69"/>
      <c r="F205" s="86"/>
      <c r="G205" s="86"/>
      <c r="H205" s="86">
        <f t="shared" si="24"/>
        <v>0</v>
      </c>
      <c r="I205" s="86">
        <f t="shared" si="24"/>
        <v>0</v>
      </c>
      <c r="J205" s="86"/>
      <c r="K205" s="69">
        <f t="shared" si="22"/>
        <v>0</v>
      </c>
      <c r="L205" s="123">
        <f t="shared" si="23"/>
        <v>0</v>
      </c>
      <c r="M205" s="133" t="s">
        <v>436</v>
      </c>
      <c r="N205" s="66">
        <v>500002156</v>
      </c>
      <c r="O205" s="125" t="s">
        <v>413</v>
      </c>
      <c r="P205" s="96" t="s">
        <v>27</v>
      </c>
      <c r="Q205" s="155"/>
      <c r="R205" s="147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s="37" customFormat="1" spans="1:28">
      <c r="A206" s="165" t="s">
        <v>437</v>
      </c>
      <c r="B206" s="166"/>
      <c r="C206" s="166"/>
      <c r="D206" s="78"/>
      <c r="E206" s="78"/>
      <c r="F206" s="79"/>
      <c r="G206" s="79"/>
      <c r="H206" s="80">
        <f>SUM(H109:H205)</f>
        <v>0</v>
      </c>
      <c r="I206" s="80">
        <f>SUM(I109:I205)</f>
        <v>0</v>
      </c>
      <c r="J206" s="80">
        <f>H206+I206</f>
        <v>0</v>
      </c>
      <c r="K206" s="80"/>
      <c r="L206" s="80"/>
      <c r="M206" s="80">
        <f>I206</f>
        <v>0</v>
      </c>
      <c r="N206" s="183"/>
      <c r="O206" s="183"/>
      <c r="P206" s="80"/>
      <c r="Q206" s="156"/>
      <c r="R206" s="157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spans="1:18">
      <c r="A207" s="56"/>
      <c r="B207" s="201"/>
      <c r="C207" s="202"/>
      <c r="D207" s="85"/>
      <c r="E207" s="85"/>
      <c r="F207" s="86"/>
      <c r="G207" s="86"/>
      <c r="H207" s="203"/>
      <c r="I207" s="203"/>
      <c r="J207" s="203"/>
      <c r="K207" s="203"/>
      <c r="L207" s="203"/>
      <c r="M207" s="203"/>
      <c r="N207" s="217"/>
      <c r="O207" s="217"/>
      <c r="P207" s="218"/>
      <c r="Q207" s="156"/>
      <c r="R207" s="157"/>
    </row>
    <row r="208" s="36" customFormat="1" spans="1:28">
      <c r="A208" s="61">
        <v>2.3</v>
      </c>
      <c r="B208" s="171" t="s">
        <v>438</v>
      </c>
      <c r="C208" s="63"/>
      <c r="D208" s="93"/>
      <c r="E208" s="93"/>
      <c r="F208" s="63"/>
      <c r="G208" s="63"/>
      <c r="H208" s="63"/>
      <c r="I208" s="63"/>
      <c r="J208" s="122"/>
      <c r="K208" s="63"/>
      <c r="L208" s="63"/>
      <c r="M208" s="65"/>
      <c r="N208" s="122"/>
      <c r="O208" s="122"/>
      <c r="P208" s="65"/>
      <c r="Q208" s="155"/>
      <c r="R208" s="147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spans="1:18">
      <c r="A209" s="144" t="s">
        <v>39</v>
      </c>
      <c r="B209" s="95" t="s">
        <v>439</v>
      </c>
      <c r="C209" s="162" t="s">
        <v>72</v>
      </c>
      <c r="D209" s="123"/>
      <c r="E209" s="123"/>
      <c r="F209" s="71"/>
      <c r="G209" s="97"/>
      <c r="H209" s="204">
        <f>D209*F209</f>
        <v>0</v>
      </c>
      <c r="I209" s="204">
        <f>G209*G209</f>
        <v>0</v>
      </c>
      <c r="J209" s="219"/>
      <c r="K209" s="123">
        <f>D209+E209</f>
        <v>0</v>
      </c>
      <c r="L209" s="123">
        <f>F209+G209</f>
        <v>0</v>
      </c>
      <c r="M209" s="133"/>
      <c r="N209" s="144">
        <v>200000187</v>
      </c>
      <c r="O209" s="187" t="s">
        <v>440</v>
      </c>
      <c r="P209" s="96" t="s">
        <v>32</v>
      </c>
      <c r="Q209" s="155"/>
      <c r="R209" s="147"/>
    </row>
    <row r="210" spans="1:18">
      <c r="A210" s="144"/>
      <c r="B210" s="95" t="s">
        <v>441</v>
      </c>
      <c r="C210" s="162" t="s">
        <v>72</v>
      </c>
      <c r="D210" s="123"/>
      <c r="E210" s="123"/>
      <c r="F210" s="97"/>
      <c r="G210" s="71"/>
      <c r="H210" s="204">
        <f>F210*F210</f>
        <v>0</v>
      </c>
      <c r="I210" s="204">
        <f>G210*E210</f>
        <v>0</v>
      </c>
      <c r="J210" s="219"/>
      <c r="K210" s="123">
        <f t="shared" ref="K210:K231" si="25">D210+E210</f>
        <v>0</v>
      </c>
      <c r="L210" s="123">
        <f t="shared" ref="L210:L231" si="26">F210+G210</f>
        <v>0</v>
      </c>
      <c r="M210" s="175">
        <v>500002157</v>
      </c>
      <c r="N210" s="175">
        <v>500002157</v>
      </c>
      <c r="O210" s="187" t="s">
        <v>442</v>
      </c>
      <c r="P210" s="96" t="s">
        <v>27</v>
      </c>
      <c r="Q210" s="155"/>
      <c r="R210" s="147"/>
    </row>
    <row r="211" spans="1:18">
      <c r="A211" s="144" t="s">
        <v>96</v>
      </c>
      <c r="B211" s="95" t="s">
        <v>443</v>
      </c>
      <c r="C211" s="162" t="s">
        <v>72</v>
      </c>
      <c r="D211" s="123"/>
      <c r="E211" s="123"/>
      <c r="F211" s="71"/>
      <c r="G211" s="97"/>
      <c r="H211" s="204">
        <f t="shared" ref="H211:I231" si="27">D211*F211</f>
        <v>0</v>
      </c>
      <c r="I211" s="204">
        <f t="shared" si="27"/>
        <v>0</v>
      </c>
      <c r="J211" s="219"/>
      <c r="K211" s="123">
        <f t="shared" si="25"/>
        <v>0</v>
      </c>
      <c r="L211" s="123">
        <f t="shared" si="26"/>
        <v>0</v>
      </c>
      <c r="M211" s="133"/>
      <c r="N211" s="144">
        <v>200000169</v>
      </c>
      <c r="O211" s="187" t="s">
        <v>444</v>
      </c>
      <c r="P211" s="96" t="s">
        <v>32</v>
      </c>
      <c r="Q211" s="155"/>
      <c r="R211" s="147"/>
    </row>
    <row r="212" spans="1:18">
      <c r="A212" s="144"/>
      <c r="B212" s="95" t="s">
        <v>445</v>
      </c>
      <c r="C212" s="162" t="s">
        <v>72</v>
      </c>
      <c r="D212" s="123"/>
      <c r="E212" s="123"/>
      <c r="F212" s="97"/>
      <c r="G212" s="71"/>
      <c r="H212" s="204">
        <f t="shared" si="27"/>
        <v>0</v>
      </c>
      <c r="I212" s="204">
        <f t="shared" si="27"/>
        <v>0</v>
      </c>
      <c r="J212" s="219"/>
      <c r="K212" s="123">
        <f t="shared" si="25"/>
        <v>0</v>
      </c>
      <c r="L212" s="123">
        <f t="shared" si="26"/>
        <v>0</v>
      </c>
      <c r="M212" s="133"/>
      <c r="N212" s="135">
        <v>500001293</v>
      </c>
      <c r="O212" s="187" t="s">
        <v>446</v>
      </c>
      <c r="P212" s="96" t="s">
        <v>27</v>
      </c>
      <c r="Q212" s="155"/>
      <c r="R212" s="147"/>
    </row>
    <row r="213" spans="1:18">
      <c r="A213" s="144" t="s">
        <v>127</v>
      </c>
      <c r="B213" s="95" t="s">
        <v>447</v>
      </c>
      <c r="C213" s="162" t="s">
        <v>72</v>
      </c>
      <c r="D213" s="205">
        <f>'BoM AE'!C54</f>
        <v>0</v>
      </c>
      <c r="E213" s="123"/>
      <c r="F213" s="97"/>
      <c r="G213" s="97"/>
      <c r="H213" s="204">
        <f t="shared" si="27"/>
        <v>0</v>
      </c>
      <c r="I213" s="204">
        <f t="shared" si="27"/>
        <v>0</v>
      </c>
      <c r="J213" s="219"/>
      <c r="K213" s="123">
        <f t="shared" si="25"/>
        <v>0</v>
      </c>
      <c r="L213" s="123">
        <f t="shared" si="26"/>
        <v>0</v>
      </c>
      <c r="M213" s="95"/>
      <c r="N213" s="220">
        <v>200001183</v>
      </c>
      <c r="O213" s="187" t="s">
        <v>440</v>
      </c>
      <c r="P213" s="96" t="s">
        <v>32</v>
      </c>
      <c r="Q213" s="155"/>
      <c r="R213" s="147"/>
    </row>
    <row r="214" spans="1:18">
      <c r="A214" s="144"/>
      <c r="B214" s="95" t="s">
        <v>448</v>
      </c>
      <c r="C214" s="162" t="s">
        <v>72</v>
      </c>
      <c r="D214" s="123"/>
      <c r="E214" s="205">
        <f>D213</f>
        <v>0</v>
      </c>
      <c r="F214" s="97"/>
      <c r="G214" s="97"/>
      <c r="H214" s="204">
        <f t="shared" si="27"/>
        <v>0</v>
      </c>
      <c r="I214" s="204">
        <f t="shared" si="27"/>
        <v>0</v>
      </c>
      <c r="J214" s="219"/>
      <c r="K214" s="123">
        <f t="shared" si="25"/>
        <v>0</v>
      </c>
      <c r="L214" s="123">
        <f t="shared" si="26"/>
        <v>0</v>
      </c>
      <c r="M214" s="175">
        <v>500002480</v>
      </c>
      <c r="N214" s="175">
        <v>500002480</v>
      </c>
      <c r="O214" s="187" t="s">
        <v>442</v>
      </c>
      <c r="P214" s="96" t="s">
        <v>27</v>
      </c>
      <c r="Q214" s="155"/>
      <c r="R214" s="147"/>
    </row>
    <row r="215" spans="1:18">
      <c r="A215" s="144" t="s">
        <v>133</v>
      </c>
      <c r="B215" s="95" t="s">
        <v>449</v>
      </c>
      <c r="C215" s="162" t="s">
        <v>72</v>
      </c>
      <c r="D215" s="205">
        <f>'BoM AE'!C58</f>
        <v>0</v>
      </c>
      <c r="E215" s="123"/>
      <c r="F215" s="71"/>
      <c r="G215" s="97"/>
      <c r="H215" s="204">
        <f t="shared" si="27"/>
        <v>0</v>
      </c>
      <c r="I215" s="204">
        <f t="shared" si="27"/>
        <v>0</v>
      </c>
      <c r="J215" s="219"/>
      <c r="K215" s="123">
        <f t="shared" si="25"/>
        <v>0</v>
      </c>
      <c r="L215" s="123">
        <f t="shared" si="26"/>
        <v>0</v>
      </c>
      <c r="M215" s="133"/>
      <c r="N215" s="144">
        <v>200001181</v>
      </c>
      <c r="O215" s="187" t="s">
        <v>444</v>
      </c>
      <c r="P215" s="96" t="s">
        <v>32</v>
      </c>
      <c r="Q215" s="155"/>
      <c r="R215" s="147"/>
    </row>
    <row r="216" spans="1:18">
      <c r="A216" s="144"/>
      <c r="B216" s="95" t="s">
        <v>450</v>
      </c>
      <c r="C216" s="162" t="s">
        <v>72</v>
      </c>
      <c r="D216" s="123"/>
      <c r="E216" s="205">
        <f>D215</f>
        <v>0</v>
      </c>
      <c r="F216" s="97"/>
      <c r="G216" s="71"/>
      <c r="H216" s="204">
        <f t="shared" si="27"/>
        <v>0</v>
      </c>
      <c r="I216" s="204">
        <f t="shared" si="27"/>
        <v>0</v>
      </c>
      <c r="J216" s="219"/>
      <c r="K216" s="123">
        <f t="shared" si="25"/>
        <v>0</v>
      </c>
      <c r="L216" s="123">
        <f t="shared" si="26"/>
        <v>0</v>
      </c>
      <c r="M216" s="133"/>
      <c r="N216" s="135">
        <v>500002337</v>
      </c>
      <c r="O216" s="187" t="s">
        <v>446</v>
      </c>
      <c r="P216" s="96" t="s">
        <v>27</v>
      </c>
      <c r="Q216" s="155"/>
      <c r="R216" s="147"/>
    </row>
    <row r="217" spans="1:18">
      <c r="A217" s="144" t="s">
        <v>139</v>
      </c>
      <c r="B217" s="95" t="s">
        <v>451</v>
      </c>
      <c r="C217" s="162" t="s">
        <v>72</v>
      </c>
      <c r="D217" s="205">
        <f>'BoM AE'!C55</f>
        <v>0</v>
      </c>
      <c r="E217" s="123"/>
      <c r="F217" s="71"/>
      <c r="G217" s="97"/>
      <c r="H217" s="204">
        <f t="shared" si="27"/>
        <v>0</v>
      </c>
      <c r="I217" s="204">
        <f t="shared" si="27"/>
        <v>0</v>
      </c>
      <c r="J217" s="219"/>
      <c r="K217" s="123">
        <f t="shared" si="25"/>
        <v>0</v>
      </c>
      <c r="L217" s="123">
        <f t="shared" si="26"/>
        <v>0</v>
      </c>
      <c r="M217" s="175">
        <v>200001055</v>
      </c>
      <c r="N217" s="175">
        <v>200001055</v>
      </c>
      <c r="O217" s="187" t="s">
        <v>440</v>
      </c>
      <c r="P217" s="133" t="s">
        <v>32</v>
      </c>
      <c r="Q217" s="155"/>
      <c r="R217" s="147"/>
    </row>
    <row r="218" spans="1:18">
      <c r="A218" s="144"/>
      <c r="B218" s="95" t="s">
        <v>452</v>
      </c>
      <c r="C218" s="162" t="s">
        <v>72</v>
      </c>
      <c r="D218" s="123"/>
      <c r="E218" s="205">
        <f>D217</f>
        <v>0</v>
      </c>
      <c r="F218" s="97"/>
      <c r="G218" s="71"/>
      <c r="H218" s="204">
        <f t="shared" si="27"/>
        <v>0</v>
      </c>
      <c r="I218" s="204">
        <f t="shared" si="27"/>
        <v>0</v>
      </c>
      <c r="J218" s="219"/>
      <c r="K218" s="123">
        <f t="shared" si="25"/>
        <v>0</v>
      </c>
      <c r="L218" s="123">
        <f t="shared" si="26"/>
        <v>0</v>
      </c>
      <c r="M218" s="145">
        <v>500002159</v>
      </c>
      <c r="N218" s="145">
        <v>500002159</v>
      </c>
      <c r="O218" s="187" t="s">
        <v>442</v>
      </c>
      <c r="P218" s="133" t="s">
        <v>27</v>
      </c>
      <c r="Q218" s="155"/>
      <c r="R218" s="147"/>
    </row>
    <row r="219" spans="1:18">
      <c r="A219" s="144"/>
      <c r="B219" s="99" t="s">
        <v>453</v>
      </c>
      <c r="C219" s="100" t="s">
        <v>123</v>
      </c>
      <c r="D219" s="205">
        <f>'BoM AE'!C56</f>
        <v>0</v>
      </c>
      <c r="E219" s="307"/>
      <c r="F219" s="97"/>
      <c r="G219" s="71"/>
      <c r="H219" s="204"/>
      <c r="I219" s="204"/>
      <c r="J219" s="219"/>
      <c r="K219" s="123"/>
      <c r="L219" s="123"/>
      <c r="M219" s="145"/>
      <c r="N219" s="100">
        <v>200002675</v>
      </c>
      <c r="O219" s="137" t="s">
        <v>454</v>
      </c>
      <c r="P219" s="142" t="s">
        <v>32</v>
      </c>
      <c r="Q219" s="155"/>
      <c r="R219" s="147"/>
    </row>
    <row r="220" spans="1:18">
      <c r="A220" s="144"/>
      <c r="B220" s="99" t="s">
        <v>455</v>
      </c>
      <c r="C220" s="100" t="s">
        <v>123</v>
      </c>
      <c r="D220" s="123"/>
      <c r="E220" s="205">
        <f>D219</f>
        <v>0</v>
      </c>
      <c r="F220" s="97"/>
      <c r="G220" s="71"/>
      <c r="H220" s="204"/>
      <c r="I220" s="204"/>
      <c r="J220" s="219"/>
      <c r="K220" s="123"/>
      <c r="L220" s="123"/>
      <c r="M220" s="145"/>
      <c r="N220" s="100">
        <v>500004729</v>
      </c>
      <c r="O220" s="137" t="s">
        <v>456</v>
      </c>
      <c r="P220" s="142" t="s">
        <v>27</v>
      </c>
      <c r="Q220" s="155"/>
      <c r="R220" s="147"/>
    </row>
    <row r="221" spans="1:18">
      <c r="A221" s="144" t="s">
        <v>160</v>
      </c>
      <c r="B221" s="95" t="s">
        <v>457</v>
      </c>
      <c r="C221" s="162"/>
      <c r="D221" s="123"/>
      <c r="E221" s="123"/>
      <c r="F221" s="97"/>
      <c r="G221" s="97"/>
      <c r="H221" s="204">
        <f t="shared" si="27"/>
        <v>0</v>
      </c>
      <c r="I221" s="204">
        <f t="shared" si="27"/>
        <v>0</v>
      </c>
      <c r="J221" s="219"/>
      <c r="K221" s="123">
        <f t="shared" si="25"/>
        <v>0</v>
      </c>
      <c r="L221" s="123">
        <f t="shared" si="26"/>
        <v>0</v>
      </c>
      <c r="M221" s="133"/>
      <c r="N221" s="144"/>
      <c r="O221" s="144"/>
      <c r="P221" s="133"/>
      <c r="Q221" s="155"/>
      <c r="R221" s="147"/>
    </row>
    <row r="222" spans="1:18">
      <c r="A222" s="144"/>
      <c r="B222" s="95" t="s">
        <v>458</v>
      </c>
      <c r="C222" s="162" t="s">
        <v>72</v>
      </c>
      <c r="D222" s="123"/>
      <c r="E222" s="123"/>
      <c r="F222" s="97"/>
      <c r="G222" s="97"/>
      <c r="H222" s="204">
        <f t="shared" si="27"/>
        <v>0</v>
      </c>
      <c r="I222" s="204">
        <f t="shared" si="27"/>
        <v>0</v>
      </c>
      <c r="J222" s="219"/>
      <c r="K222" s="123">
        <f t="shared" si="25"/>
        <v>0</v>
      </c>
      <c r="L222" s="123">
        <f t="shared" si="26"/>
        <v>0</v>
      </c>
      <c r="M222" s="175">
        <v>200000996</v>
      </c>
      <c r="N222" s="175">
        <v>200000996</v>
      </c>
      <c r="O222" s="187" t="s">
        <v>459</v>
      </c>
      <c r="P222" s="96" t="s">
        <v>32</v>
      </c>
      <c r="Q222" s="155"/>
      <c r="R222" s="147"/>
    </row>
    <row r="223" spans="1:18">
      <c r="A223" s="144"/>
      <c r="B223" s="95" t="s">
        <v>460</v>
      </c>
      <c r="C223" s="162" t="s">
        <v>72</v>
      </c>
      <c r="D223" s="123"/>
      <c r="E223" s="123"/>
      <c r="F223" s="97"/>
      <c r="G223" s="97"/>
      <c r="H223" s="204">
        <f t="shared" si="27"/>
        <v>0</v>
      </c>
      <c r="I223" s="204">
        <f t="shared" si="27"/>
        <v>0</v>
      </c>
      <c r="J223" s="219"/>
      <c r="K223" s="123">
        <f t="shared" si="25"/>
        <v>0</v>
      </c>
      <c r="L223" s="123">
        <f t="shared" si="26"/>
        <v>0</v>
      </c>
      <c r="M223" s="133"/>
      <c r="N223" s="135">
        <v>200000979</v>
      </c>
      <c r="O223" s="136" t="s">
        <v>461</v>
      </c>
      <c r="P223" s="96" t="s">
        <v>32</v>
      </c>
      <c r="Q223" s="155"/>
      <c r="R223" s="147"/>
    </row>
    <row r="224" spans="1:28">
      <c r="A224" s="144"/>
      <c r="B224" s="95" t="s">
        <v>462</v>
      </c>
      <c r="C224" s="162" t="s">
        <v>72</v>
      </c>
      <c r="D224" s="123"/>
      <c r="E224" s="123"/>
      <c r="F224" s="97"/>
      <c r="G224" s="97"/>
      <c r="H224" s="204">
        <f t="shared" si="27"/>
        <v>0</v>
      </c>
      <c r="I224" s="204">
        <f t="shared" si="27"/>
        <v>0</v>
      </c>
      <c r="J224" s="219"/>
      <c r="K224" s="123">
        <f t="shared" si="25"/>
        <v>0</v>
      </c>
      <c r="L224" s="123">
        <f t="shared" si="26"/>
        <v>0</v>
      </c>
      <c r="M224" s="133"/>
      <c r="N224" s="135">
        <v>200001007</v>
      </c>
      <c r="O224" s="136" t="s">
        <v>463</v>
      </c>
      <c r="P224" s="96" t="s">
        <v>32</v>
      </c>
      <c r="Q224" s="155"/>
      <c r="R224" s="147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spans="1:28">
      <c r="A225" s="144" t="s">
        <v>165</v>
      </c>
      <c r="B225" s="95" t="s">
        <v>464</v>
      </c>
      <c r="C225" s="162" t="s">
        <v>72</v>
      </c>
      <c r="D225" s="205">
        <f>'BoM AE'!C62</f>
        <v>0</v>
      </c>
      <c r="E225" s="205">
        <f>D225</f>
        <v>0</v>
      </c>
      <c r="F225" s="71"/>
      <c r="G225" s="108"/>
      <c r="H225" s="204">
        <f t="shared" si="27"/>
        <v>0</v>
      </c>
      <c r="I225" s="204">
        <f t="shared" si="27"/>
        <v>0</v>
      </c>
      <c r="J225" s="219"/>
      <c r="K225" s="123">
        <f t="shared" si="25"/>
        <v>0</v>
      </c>
      <c r="L225" s="123">
        <f t="shared" si="26"/>
        <v>0</v>
      </c>
      <c r="M225" s="133"/>
      <c r="N225" s="162">
        <v>200000185</v>
      </c>
      <c r="O225" s="95" t="s">
        <v>465</v>
      </c>
      <c r="P225" s="96" t="s">
        <v>32</v>
      </c>
      <c r="Q225" s="155"/>
      <c r="R225" s="147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spans="1:28">
      <c r="A226" s="144" t="s">
        <v>196</v>
      </c>
      <c r="B226" s="95" t="s">
        <v>466</v>
      </c>
      <c r="C226" s="162" t="s">
        <v>42</v>
      </c>
      <c r="D226" s="205">
        <f>'BoM AE'!C29</f>
        <v>0</v>
      </c>
      <c r="E226" s="205">
        <f>D226</f>
        <v>0</v>
      </c>
      <c r="F226" s="108"/>
      <c r="G226" s="71"/>
      <c r="H226" s="204">
        <f t="shared" si="27"/>
        <v>0</v>
      </c>
      <c r="I226" s="204">
        <f t="shared" si="27"/>
        <v>0</v>
      </c>
      <c r="J226" s="219"/>
      <c r="K226" s="123">
        <f t="shared" si="25"/>
        <v>0</v>
      </c>
      <c r="L226" s="123">
        <f t="shared" si="26"/>
        <v>0</v>
      </c>
      <c r="M226" s="133"/>
      <c r="N226" s="144">
        <v>200001033</v>
      </c>
      <c r="O226" s="187" t="s">
        <v>467</v>
      </c>
      <c r="P226" s="96" t="s">
        <v>32</v>
      </c>
      <c r="Q226" s="155"/>
      <c r="R226" s="147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spans="1:28">
      <c r="A227" s="206" t="s">
        <v>393</v>
      </c>
      <c r="B227" s="207" t="s">
        <v>468</v>
      </c>
      <c r="C227" s="206" t="s">
        <v>72</v>
      </c>
      <c r="D227" s="123"/>
      <c r="E227" s="123"/>
      <c r="F227" s="97"/>
      <c r="G227" s="108"/>
      <c r="H227" s="204">
        <f t="shared" si="27"/>
        <v>0</v>
      </c>
      <c r="I227" s="204">
        <f t="shared" si="27"/>
        <v>0</v>
      </c>
      <c r="J227" s="219"/>
      <c r="K227" s="123">
        <f t="shared" si="25"/>
        <v>0</v>
      </c>
      <c r="L227" s="123">
        <f t="shared" si="26"/>
        <v>0</v>
      </c>
      <c r="M227" s="133"/>
      <c r="N227" s="144">
        <v>500002194</v>
      </c>
      <c r="O227" s="144"/>
      <c r="P227" s="96"/>
      <c r="Q227" s="155"/>
      <c r="R227" s="147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spans="1:28">
      <c r="A228" s="206"/>
      <c r="B228" s="161" t="s">
        <v>469</v>
      </c>
      <c r="C228" s="194" t="s">
        <v>198</v>
      </c>
      <c r="D228" s="205">
        <f>'BoM AE'!C63</f>
        <v>0</v>
      </c>
      <c r="E228" s="205">
        <f>D228</f>
        <v>0</v>
      </c>
      <c r="F228" s="71"/>
      <c r="G228" s="108"/>
      <c r="H228" s="204">
        <f t="shared" si="27"/>
        <v>0</v>
      </c>
      <c r="I228" s="204">
        <f t="shared" si="27"/>
        <v>0</v>
      </c>
      <c r="J228" s="219"/>
      <c r="K228" s="123">
        <f t="shared" si="25"/>
        <v>0</v>
      </c>
      <c r="L228" s="123">
        <f t="shared" si="26"/>
        <v>0</v>
      </c>
      <c r="M228" s="133"/>
      <c r="N228" s="177">
        <v>200000149</v>
      </c>
      <c r="O228" s="161" t="s">
        <v>470</v>
      </c>
      <c r="P228" s="96" t="s">
        <v>32</v>
      </c>
      <c r="Q228" s="155"/>
      <c r="R228" s="147"/>
      <c r="S228" s="161" t="s">
        <v>470</v>
      </c>
      <c r="T228" s="96" t="s">
        <v>32</v>
      </c>
      <c r="U228" s="40"/>
      <c r="V228" s="40"/>
      <c r="W228" s="40"/>
      <c r="X228" s="40"/>
      <c r="Y228" s="40"/>
      <c r="Z228" s="40"/>
      <c r="AA228" s="40"/>
      <c r="AB228" s="40"/>
    </row>
    <row r="229" spans="1:28">
      <c r="A229" s="206"/>
      <c r="B229" s="161" t="s">
        <v>471</v>
      </c>
      <c r="C229" s="194" t="s">
        <v>198</v>
      </c>
      <c r="D229" s="205">
        <f>'BoM AE'!C64</f>
        <v>0</v>
      </c>
      <c r="E229" s="205">
        <f t="shared" ref="E229:E241" si="28">D229</f>
        <v>0</v>
      </c>
      <c r="F229" s="71"/>
      <c r="G229" s="108"/>
      <c r="H229" s="204">
        <f t="shared" si="27"/>
        <v>0</v>
      </c>
      <c r="I229" s="204">
        <f t="shared" si="27"/>
        <v>0</v>
      </c>
      <c r="J229" s="219"/>
      <c r="K229" s="123">
        <f t="shared" si="25"/>
        <v>0</v>
      </c>
      <c r="L229" s="123">
        <f t="shared" si="26"/>
        <v>0</v>
      </c>
      <c r="M229" s="133"/>
      <c r="N229" s="177">
        <v>200000148</v>
      </c>
      <c r="O229" s="161" t="s">
        <v>472</v>
      </c>
      <c r="P229" s="96" t="s">
        <v>32</v>
      </c>
      <c r="Q229" s="155"/>
      <c r="R229" s="147"/>
      <c r="S229" s="161" t="s">
        <v>472</v>
      </c>
      <c r="T229" s="96" t="s">
        <v>32</v>
      </c>
      <c r="U229" s="40"/>
      <c r="V229" s="40"/>
      <c r="W229" s="40"/>
      <c r="X229" s="40"/>
      <c r="Y229" s="40"/>
      <c r="Z229" s="40"/>
      <c r="AA229" s="40"/>
      <c r="AB229" s="40"/>
    </row>
    <row r="230" spans="1:28">
      <c r="A230" s="206"/>
      <c r="B230" s="161" t="s">
        <v>473</v>
      </c>
      <c r="C230" s="194" t="s">
        <v>198</v>
      </c>
      <c r="D230" s="123"/>
      <c r="E230" s="123">
        <f t="shared" si="28"/>
        <v>0</v>
      </c>
      <c r="F230" s="208"/>
      <c r="G230" s="108"/>
      <c r="H230" s="204">
        <f t="shared" si="27"/>
        <v>0</v>
      </c>
      <c r="I230" s="204">
        <f t="shared" si="27"/>
        <v>0</v>
      </c>
      <c r="J230" s="219"/>
      <c r="K230" s="123">
        <f t="shared" si="25"/>
        <v>0</v>
      </c>
      <c r="L230" s="123">
        <f t="shared" si="26"/>
        <v>0</v>
      </c>
      <c r="M230" s="133"/>
      <c r="N230" s="177">
        <v>200000188</v>
      </c>
      <c r="O230" s="161" t="s">
        <v>474</v>
      </c>
      <c r="P230" s="96" t="s">
        <v>32</v>
      </c>
      <c r="Q230" s="155"/>
      <c r="R230" s="147"/>
      <c r="S230" s="161" t="s">
        <v>474</v>
      </c>
      <c r="T230" s="96" t="s">
        <v>32</v>
      </c>
      <c r="U230" s="40"/>
      <c r="V230" s="40"/>
      <c r="W230" s="40"/>
      <c r="X230" s="40"/>
      <c r="Y230" s="40"/>
      <c r="Z230" s="40"/>
      <c r="AA230" s="40"/>
      <c r="AB230" s="40"/>
    </row>
    <row r="231" spans="1:28">
      <c r="A231" s="206"/>
      <c r="B231" s="161" t="s">
        <v>475</v>
      </c>
      <c r="C231" s="194" t="s">
        <v>198</v>
      </c>
      <c r="D231" s="205">
        <f>'BoM AE'!C65</f>
        <v>0</v>
      </c>
      <c r="E231" s="205">
        <f t="shared" si="28"/>
        <v>0</v>
      </c>
      <c r="F231" s="71"/>
      <c r="G231" s="108"/>
      <c r="H231" s="204">
        <f t="shared" si="27"/>
        <v>0</v>
      </c>
      <c r="I231" s="204">
        <f t="shared" si="27"/>
        <v>0</v>
      </c>
      <c r="J231" s="219"/>
      <c r="K231" s="123">
        <f t="shared" si="25"/>
        <v>0</v>
      </c>
      <c r="L231" s="123">
        <f t="shared" si="26"/>
        <v>0</v>
      </c>
      <c r="M231" s="133"/>
      <c r="N231" s="177">
        <v>200000172</v>
      </c>
      <c r="O231" s="161" t="s">
        <v>476</v>
      </c>
      <c r="P231" s="96" t="s">
        <v>32</v>
      </c>
      <c r="Q231" s="155"/>
      <c r="R231" s="147"/>
      <c r="S231" s="161" t="s">
        <v>476</v>
      </c>
      <c r="T231" s="96" t="s">
        <v>32</v>
      </c>
      <c r="U231" s="40"/>
      <c r="V231" s="40"/>
      <c r="W231" s="40"/>
      <c r="X231" s="40"/>
      <c r="Y231" s="40"/>
      <c r="Z231" s="40"/>
      <c r="AA231" s="40"/>
      <c r="AB231" s="40"/>
    </row>
    <row r="232" spans="1:28">
      <c r="A232" s="206"/>
      <c r="B232" s="161" t="s">
        <v>477</v>
      </c>
      <c r="C232" s="194" t="s">
        <v>198</v>
      </c>
      <c r="D232" s="123">
        <f>'BoM AE'!E68</f>
        <v>0</v>
      </c>
      <c r="E232" s="123">
        <f t="shared" si="28"/>
        <v>0</v>
      </c>
      <c r="F232" s="209"/>
      <c r="G232" s="108"/>
      <c r="H232" s="204"/>
      <c r="I232" s="204"/>
      <c r="J232" s="219"/>
      <c r="K232" s="123"/>
      <c r="L232" s="123"/>
      <c r="M232" s="133"/>
      <c r="N232" s="177">
        <v>200002130</v>
      </c>
      <c r="O232" s="161" t="s">
        <v>478</v>
      </c>
      <c r="P232" s="133" t="s">
        <v>32</v>
      </c>
      <c r="Q232" s="224"/>
      <c r="R232" s="225"/>
      <c r="S232" s="161" t="s">
        <v>478</v>
      </c>
      <c r="T232" s="133" t="s">
        <v>32</v>
      </c>
      <c r="U232" s="40"/>
      <c r="V232" s="40"/>
      <c r="W232" s="40"/>
      <c r="X232" s="40"/>
      <c r="Y232" s="40"/>
      <c r="Z232" s="40"/>
      <c r="AA232" s="40"/>
      <c r="AB232" s="40"/>
    </row>
    <row r="233" spans="1:28">
      <c r="A233" s="206"/>
      <c r="B233" s="161" t="s">
        <v>479</v>
      </c>
      <c r="C233" s="194" t="s">
        <v>198</v>
      </c>
      <c r="D233" s="123"/>
      <c r="E233" s="123">
        <f t="shared" si="28"/>
        <v>0</v>
      </c>
      <c r="F233" s="208"/>
      <c r="G233" s="108"/>
      <c r="H233" s="204">
        <f t="shared" ref="H233:I240" si="29">D233*F233</f>
        <v>0</v>
      </c>
      <c r="I233" s="204">
        <f t="shared" si="29"/>
        <v>0</v>
      </c>
      <c r="J233" s="219"/>
      <c r="K233" s="123">
        <f t="shared" ref="K233:K241" si="30">D233+E233</f>
        <v>0</v>
      </c>
      <c r="L233" s="123">
        <f t="shared" ref="L233:L241" si="31">F233+G233</f>
        <v>0</v>
      </c>
      <c r="M233" s="133"/>
      <c r="N233" s="177">
        <v>200000175</v>
      </c>
      <c r="O233" s="161" t="s">
        <v>480</v>
      </c>
      <c r="P233" s="96" t="s">
        <v>32</v>
      </c>
      <c r="Q233" s="155"/>
      <c r="R233" s="147"/>
      <c r="S233" s="161" t="s">
        <v>480</v>
      </c>
      <c r="T233" s="96" t="s">
        <v>32</v>
      </c>
      <c r="U233" s="40"/>
      <c r="V233" s="40"/>
      <c r="W233" s="40"/>
      <c r="X233" s="40"/>
      <c r="Y233" s="40"/>
      <c r="Z233" s="40"/>
      <c r="AA233" s="40"/>
      <c r="AB233" s="40"/>
    </row>
    <row r="234" spans="1:28">
      <c r="A234" s="206"/>
      <c r="B234" s="161" t="s">
        <v>481</v>
      </c>
      <c r="C234" s="194" t="s">
        <v>198</v>
      </c>
      <c r="D234" s="123">
        <f>'BoM AE'!E105</f>
        <v>0</v>
      </c>
      <c r="E234" s="123">
        <f t="shared" si="28"/>
        <v>0</v>
      </c>
      <c r="F234" s="208"/>
      <c r="G234" s="108"/>
      <c r="H234" s="204">
        <f t="shared" si="29"/>
        <v>0</v>
      </c>
      <c r="I234" s="204">
        <f t="shared" si="29"/>
        <v>0</v>
      </c>
      <c r="J234" s="219"/>
      <c r="K234" s="123">
        <f t="shared" si="30"/>
        <v>0</v>
      </c>
      <c r="L234" s="123">
        <f t="shared" si="31"/>
        <v>0</v>
      </c>
      <c r="M234" s="133"/>
      <c r="N234" s="177">
        <v>200000670</v>
      </c>
      <c r="O234" s="161" t="s">
        <v>307</v>
      </c>
      <c r="P234" s="96" t="s">
        <v>32</v>
      </c>
      <c r="Q234" s="155"/>
      <c r="R234" s="147"/>
      <c r="S234" s="161" t="s">
        <v>307</v>
      </c>
      <c r="T234" s="96" t="s">
        <v>32</v>
      </c>
      <c r="U234" s="40"/>
      <c r="V234" s="40"/>
      <c r="W234" s="40"/>
      <c r="X234" s="40"/>
      <c r="Y234" s="40"/>
      <c r="Z234" s="40"/>
      <c r="AA234" s="40"/>
      <c r="AB234" s="40"/>
    </row>
    <row r="235" spans="1:28">
      <c r="A235" s="206"/>
      <c r="B235" s="161" t="s">
        <v>482</v>
      </c>
      <c r="C235" s="194" t="s">
        <v>198</v>
      </c>
      <c r="D235" s="205">
        <f>'BoM AE'!C70</f>
        <v>0</v>
      </c>
      <c r="E235" s="205">
        <f t="shared" si="28"/>
        <v>0</v>
      </c>
      <c r="F235" s="208"/>
      <c r="G235" s="108"/>
      <c r="H235" s="204">
        <f t="shared" si="29"/>
        <v>0</v>
      </c>
      <c r="I235" s="204">
        <f t="shared" si="29"/>
        <v>0</v>
      </c>
      <c r="J235" s="219"/>
      <c r="K235" s="123">
        <f t="shared" si="30"/>
        <v>0</v>
      </c>
      <c r="L235" s="123">
        <f t="shared" si="31"/>
        <v>0</v>
      </c>
      <c r="M235" s="133"/>
      <c r="N235" s="177">
        <v>200000166</v>
      </c>
      <c r="O235" s="161" t="s">
        <v>483</v>
      </c>
      <c r="P235" s="96" t="s">
        <v>32</v>
      </c>
      <c r="Q235" s="155"/>
      <c r="R235" s="147"/>
      <c r="S235" s="161" t="s">
        <v>483</v>
      </c>
      <c r="T235" s="96" t="s">
        <v>32</v>
      </c>
      <c r="U235" s="40"/>
      <c r="V235" s="40"/>
      <c r="W235" s="40"/>
      <c r="X235" s="40"/>
      <c r="Y235" s="40"/>
      <c r="Z235" s="40"/>
      <c r="AA235" s="40"/>
      <c r="AB235" s="40"/>
    </row>
    <row r="236" spans="1:28">
      <c r="A236" s="206"/>
      <c r="B236" s="161" t="s">
        <v>484</v>
      </c>
      <c r="C236" s="194" t="s">
        <v>198</v>
      </c>
      <c r="D236" s="205">
        <f>'BoM AE'!C69</f>
        <v>0</v>
      </c>
      <c r="E236" s="205">
        <f t="shared" si="28"/>
        <v>0</v>
      </c>
      <c r="F236" s="71"/>
      <c r="G236" s="108"/>
      <c r="H236" s="204">
        <f t="shared" si="29"/>
        <v>0</v>
      </c>
      <c r="I236" s="204">
        <f t="shared" si="29"/>
        <v>0</v>
      </c>
      <c r="J236" s="219"/>
      <c r="K236" s="123">
        <f t="shared" si="30"/>
        <v>0</v>
      </c>
      <c r="L236" s="123">
        <f t="shared" si="31"/>
        <v>0</v>
      </c>
      <c r="M236" s="133"/>
      <c r="N236" s="177">
        <v>200000145</v>
      </c>
      <c r="O236" s="161" t="s">
        <v>485</v>
      </c>
      <c r="P236" s="96" t="s">
        <v>32</v>
      </c>
      <c r="Q236" s="155"/>
      <c r="R236" s="147"/>
      <c r="S236" s="161" t="s">
        <v>485</v>
      </c>
      <c r="T236" s="96" t="s">
        <v>32</v>
      </c>
      <c r="U236" s="40"/>
      <c r="V236" s="40"/>
      <c r="W236" s="40"/>
      <c r="X236" s="40"/>
      <c r="Y236" s="40"/>
      <c r="Z236" s="40"/>
      <c r="AA236" s="40"/>
      <c r="AB236" s="40"/>
    </row>
    <row r="237" spans="1:28">
      <c r="A237" s="206"/>
      <c r="B237" s="161" t="s">
        <v>486</v>
      </c>
      <c r="C237" s="194" t="s">
        <v>198</v>
      </c>
      <c r="D237" s="123"/>
      <c r="E237" s="123">
        <f t="shared" si="28"/>
        <v>0</v>
      </c>
      <c r="F237" s="208"/>
      <c r="G237" s="108"/>
      <c r="H237" s="204">
        <f t="shared" si="29"/>
        <v>0</v>
      </c>
      <c r="I237" s="204">
        <f t="shared" si="29"/>
        <v>0</v>
      </c>
      <c r="J237" s="219"/>
      <c r="K237" s="123">
        <f t="shared" si="30"/>
        <v>0</v>
      </c>
      <c r="L237" s="123">
        <f t="shared" si="31"/>
        <v>0</v>
      </c>
      <c r="M237" s="133"/>
      <c r="N237" s="177">
        <v>200000150</v>
      </c>
      <c r="O237" s="161" t="s">
        <v>487</v>
      </c>
      <c r="P237" s="96" t="s">
        <v>32</v>
      </c>
      <c r="Q237" s="155"/>
      <c r="R237" s="147"/>
      <c r="S237" s="161" t="s">
        <v>487</v>
      </c>
      <c r="T237" s="96" t="s">
        <v>32</v>
      </c>
      <c r="U237" s="40"/>
      <c r="V237" s="40"/>
      <c r="W237" s="40"/>
      <c r="X237" s="40"/>
      <c r="Y237" s="40"/>
      <c r="Z237" s="40"/>
      <c r="AA237" s="40"/>
      <c r="AB237" s="40"/>
    </row>
    <row r="238" spans="1:28">
      <c r="A238" s="206"/>
      <c r="B238" s="161" t="s">
        <v>488</v>
      </c>
      <c r="C238" s="194" t="s">
        <v>198</v>
      </c>
      <c r="D238" s="205">
        <f>'BoM AE'!C66</f>
        <v>0</v>
      </c>
      <c r="E238" s="205">
        <f t="shared" si="28"/>
        <v>0</v>
      </c>
      <c r="F238" s="71"/>
      <c r="G238" s="108"/>
      <c r="H238" s="204">
        <f t="shared" si="29"/>
        <v>0</v>
      </c>
      <c r="I238" s="204">
        <f t="shared" si="29"/>
        <v>0</v>
      </c>
      <c r="J238" s="219"/>
      <c r="K238" s="123">
        <f t="shared" si="30"/>
        <v>0</v>
      </c>
      <c r="L238" s="123">
        <f t="shared" si="31"/>
        <v>0</v>
      </c>
      <c r="M238" s="133"/>
      <c r="N238" s="177">
        <v>500001103</v>
      </c>
      <c r="O238" s="161" t="s">
        <v>489</v>
      </c>
      <c r="P238" s="96" t="s">
        <v>32</v>
      </c>
      <c r="Q238" s="155"/>
      <c r="R238" s="147"/>
      <c r="S238" s="161" t="s">
        <v>489</v>
      </c>
      <c r="T238" s="96" t="s">
        <v>32</v>
      </c>
      <c r="U238" s="40"/>
      <c r="V238" s="40"/>
      <c r="W238" s="40"/>
      <c r="X238" s="40"/>
      <c r="Y238" s="40"/>
      <c r="Z238" s="40"/>
      <c r="AA238" s="40"/>
      <c r="AB238" s="40"/>
    </row>
    <row r="239" spans="1:20">
      <c r="A239" s="206"/>
      <c r="B239" s="161" t="s">
        <v>490</v>
      </c>
      <c r="C239" s="194" t="s">
        <v>198</v>
      </c>
      <c r="D239" s="205">
        <f>'BoM AE'!C67</f>
        <v>0</v>
      </c>
      <c r="E239" s="205">
        <f t="shared" si="28"/>
        <v>0</v>
      </c>
      <c r="F239" s="71"/>
      <c r="G239" s="108"/>
      <c r="H239" s="204">
        <f t="shared" si="29"/>
        <v>0</v>
      </c>
      <c r="I239" s="204">
        <f t="shared" si="29"/>
        <v>0</v>
      </c>
      <c r="J239" s="219"/>
      <c r="K239" s="123">
        <f t="shared" si="30"/>
        <v>0</v>
      </c>
      <c r="L239" s="123">
        <f t="shared" si="31"/>
        <v>0</v>
      </c>
      <c r="M239" s="133"/>
      <c r="N239" s="177">
        <v>200000690</v>
      </c>
      <c r="O239" s="161" t="s">
        <v>491</v>
      </c>
      <c r="P239" s="96" t="s">
        <v>32</v>
      </c>
      <c r="Q239" s="155"/>
      <c r="R239" s="147"/>
      <c r="S239" s="161" t="s">
        <v>491</v>
      </c>
      <c r="T239" s="96" t="s">
        <v>32</v>
      </c>
    </row>
    <row r="240" spans="1:20">
      <c r="A240" s="206"/>
      <c r="B240" s="161" t="s">
        <v>492</v>
      </c>
      <c r="C240" s="194" t="s">
        <v>198</v>
      </c>
      <c r="D240" s="123">
        <f>'BoM AE'!E71</f>
        <v>0</v>
      </c>
      <c r="E240" s="123">
        <f t="shared" si="28"/>
        <v>0</v>
      </c>
      <c r="F240" s="71"/>
      <c r="G240" s="108"/>
      <c r="H240" s="204">
        <f t="shared" si="29"/>
        <v>0</v>
      </c>
      <c r="I240" s="204">
        <f t="shared" si="29"/>
        <v>0</v>
      </c>
      <c r="J240" s="219"/>
      <c r="K240" s="123">
        <f t="shared" si="30"/>
        <v>0</v>
      </c>
      <c r="L240" s="123">
        <f t="shared" si="31"/>
        <v>0</v>
      </c>
      <c r="M240" s="133"/>
      <c r="N240" s="177">
        <v>200001510</v>
      </c>
      <c r="O240" s="161" t="s">
        <v>493</v>
      </c>
      <c r="P240" s="96" t="s">
        <v>32</v>
      </c>
      <c r="Q240" s="155"/>
      <c r="R240" s="147"/>
      <c r="S240" s="161" t="s">
        <v>493</v>
      </c>
      <c r="T240" s="96" t="s">
        <v>32</v>
      </c>
    </row>
    <row r="241" customFormat="1" ht="14.4" spans="1:28">
      <c r="A241" s="206"/>
      <c r="B241" s="161" t="s">
        <v>494</v>
      </c>
      <c r="C241" s="194" t="s">
        <v>198</v>
      </c>
      <c r="D241" s="123">
        <f>'BoM AE'!E72</f>
        <v>0</v>
      </c>
      <c r="E241" s="123">
        <f t="shared" si="28"/>
        <v>0</v>
      </c>
      <c r="F241" s="71"/>
      <c r="G241" s="108"/>
      <c r="H241" s="204"/>
      <c r="I241" s="204"/>
      <c r="J241" s="219"/>
      <c r="K241" s="123">
        <f t="shared" si="30"/>
        <v>0</v>
      </c>
      <c r="L241" s="123">
        <f t="shared" si="31"/>
        <v>0</v>
      </c>
      <c r="M241" s="133"/>
      <c r="N241" s="177">
        <v>200001070</v>
      </c>
      <c r="O241" s="161" t="s">
        <v>495</v>
      </c>
      <c r="P241" s="96" t="s">
        <v>32</v>
      </c>
      <c r="Q241" s="155"/>
      <c r="R241" s="147"/>
      <c r="S241" s="161" t="s">
        <v>495</v>
      </c>
      <c r="T241" s="96" t="s">
        <v>32</v>
      </c>
      <c r="U241" s="43"/>
      <c r="V241" s="43"/>
      <c r="W241" s="43"/>
      <c r="X241" s="43"/>
      <c r="Y241" s="43"/>
      <c r="Z241" s="43"/>
      <c r="AA241" s="43"/>
      <c r="AB241" s="43"/>
    </row>
    <row r="242" s="37" customFormat="1" spans="1:28">
      <c r="A242" s="165" t="s">
        <v>496</v>
      </c>
      <c r="B242" s="166"/>
      <c r="C242" s="166"/>
      <c r="D242" s="78"/>
      <c r="E242" s="78"/>
      <c r="F242" s="80"/>
      <c r="G242" s="79"/>
      <c r="H242" s="80">
        <f>SUM(H209:H240)</f>
        <v>0</v>
      </c>
      <c r="I242" s="80">
        <f>SUM(I209:I240)</f>
        <v>0</v>
      </c>
      <c r="J242" s="80">
        <f>H242+I242</f>
        <v>0</v>
      </c>
      <c r="K242" s="80"/>
      <c r="L242" s="80"/>
      <c r="M242" s="80"/>
      <c r="N242" s="183"/>
      <c r="O242" s="183"/>
      <c r="P242" s="80"/>
      <c r="Q242" s="156"/>
      <c r="R242" s="157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 spans="1:18">
      <c r="A243" s="210"/>
      <c r="B243" s="211"/>
      <c r="C243" s="212"/>
      <c r="D243" s="85"/>
      <c r="E243" s="85"/>
      <c r="F243" s="213"/>
      <c r="G243" s="86"/>
      <c r="H243" s="213"/>
      <c r="I243" s="213"/>
      <c r="J243" s="213"/>
      <c r="K243" s="213"/>
      <c r="L243" s="213"/>
      <c r="M243" s="213"/>
      <c r="N243" s="221"/>
      <c r="O243" s="221"/>
      <c r="P243" s="222"/>
      <c r="Q243" s="156"/>
      <c r="R243" s="157"/>
    </row>
    <row r="244" s="36" customFormat="1" spans="1:28">
      <c r="A244" s="61">
        <v>2.4</v>
      </c>
      <c r="B244" s="171" t="s">
        <v>497</v>
      </c>
      <c r="C244" s="63"/>
      <c r="D244" s="93"/>
      <c r="E244" s="93"/>
      <c r="F244" s="63"/>
      <c r="G244" s="63"/>
      <c r="H244" s="63"/>
      <c r="I244" s="63"/>
      <c r="J244" s="122"/>
      <c r="K244" s="63"/>
      <c r="L244" s="63"/>
      <c r="M244" s="63"/>
      <c r="N244" s="223"/>
      <c r="O244" s="223"/>
      <c r="P244" s="223"/>
      <c r="Q244" s="147"/>
      <c r="R244" s="157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 spans="1:18">
      <c r="A245" s="66" t="s">
        <v>39</v>
      </c>
      <c r="B245" s="106" t="s">
        <v>498</v>
      </c>
      <c r="C245" s="68"/>
      <c r="D245" s="69"/>
      <c r="E245" s="69"/>
      <c r="F245" s="87"/>
      <c r="G245" s="86"/>
      <c r="H245" s="204">
        <f t="shared" ref="H245:I280" si="32">D245*F245</f>
        <v>0</v>
      </c>
      <c r="I245" s="204">
        <f t="shared" si="32"/>
        <v>0</v>
      </c>
      <c r="J245" s="87"/>
      <c r="K245" s="69">
        <f t="shared" ref="K245:K280" si="33">D245+E245</f>
        <v>0</v>
      </c>
      <c r="L245" s="123">
        <f t="shared" ref="L245:L280" si="34">F245+G245</f>
        <v>0</v>
      </c>
      <c r="M245" s="87"/>
      <c r="N245" s="56"/>
      <c r="O245" s="56"/>
      <c r="P245" s="87"/>
      <c r="Q245" s="156"/>
      <c r="R245" s="157"/>
    </row>
    <row r="246" spans="1:18">
      <c r="A246" s="66"/>
      <c r="B246" s="106" t="s">
        <v>499</v>
      </c>
      <c r="C246" s="68" t="s">
        <v>72</v>
      </c>
      <c r="D246" s="69"/>
      <c r="E246" s="69"/>
      <c r="F246" s="87"/>
      <c r="G246" s="86"/>
      <c r="H246" s="204">
        <f t="shared" si="32"/>
        <v>0</v>
      </c>
      <c r="I246" s="204">
        <f t="shared" si="32"/>
        <v>0</v>
      </c>
      <c r="J246" s="87"/>
      <c r="K246" s="69">
        <f t="shared" si="33"/>
        <v>0</v>
      </c>
      <c r="L246" s="123">
        <f t="shared" si="34"/>
        <v>0</v>
      </c>
      <c r="M246" s="87"/>
      <c r="N246" s="135">
        <v>200001001</v>
      </c>
      <c r="O246" s="136" t="s">
        <v>500</v>
      </c>
      <c r="P246" s="96" t="s">
        <v>32</v>
      </c>
      <c r="Q246" s="155"/>
      <c r="R246" s="157"/>
    </row>
    <row r="247" spans="1:18">
      <c r="A247" s="66"/>
      <c r="B247" s="106" t="s">
        <v>501</v>
      </c>
      <c r="C247" s="68" t="s">
        <v>72</v>
      </c>
      <c r="D247" s="69"/>
      <c r="E247" s="69"/>
      <c r="F247" s="87"/>
      <c r="G247" s="86"/>
      <c r="H247" s="204">
        <f t="shared" si="32"/>
        <v>0</v>
      </c>
      <c r="I247" s="204">
        <f t="shared" si="32"/>
        <v>0</v>
      </c>
      <c r="J247" s="87"/>
      <c r="K247" s="69">
        <f t="shared" si="33"/>
        <v>0</v>
      </c>
      <c r="L247" s="123">
        <f t="shared" si="34"/>
        <v>0</v>
      </c>
      <c r="M247" s="87"/>
      <c r="N247" s="135">
        <v>500002069</v>
      </c>
      <c r="O247" s="136" t="s">
        <v>502</v>
      </c>
      <c r="P247" s="96" t="s">
        <v>27</v>
      </c>
      <c r="Q247" s="155"/>
      <c r="R247" s="157"/>
    </row>
    <row r="248" spans="1:18">
      <c r="A248" s="66"/>
      <c r="B248" s="106" t="s">
        <v>503</v>
      </c>
      <c r="C248" s="68" t="s">
        <v>72</v>
      </c>
      <c r="D248" s="69"/>
      <c r="E248" s="69"/>
      <c r="F248" s="87"/>
      <c r="G248" s="86"/>
      <c r="H248" s="204">
        <f t="shared" si="32"/>
        <v>0</v>
      </c>
      <c r="I248" s="204">
        <f t="shared" si="32"/>
        <v>0</v>
      </c>
      <c r="J248" s="87"/>
      <c r="K248" s="69">
        <f t="shared" si="33"/>
        <v>0</v>
      </c>
      <c r="L248" s="123">
        <f t="shared" si="34"/>
        <v>0</v>
      </c>
      <c r="M248" s="87"/>
      <c r="N248" s="135">
        <v>200001005</v>
      </c>
      <c r="O248" s="136" t="s">
        <v>504</v>
      </c>
      <c r="P248" s="96" t="s">
        <v>32</v>
      </c>
      <c r="Q248" s="155"/>
      <c r="R248" s="157"/>
    </row>
    <row r="249" spans="1:18">
      <c r="A249" s="66"/>
      <c r="B249" s="106" t="s">
        <v>505</v>
      </c>
      <c r="C249" s="68" t="s">
        <v>72</v>
      </c>
      <c r="D249" s="69"/>
      <c r="E249" s="69"/>
      <c r="F249" s="87"/>
      <c r="G249" s="86"/>
      <c r="H249" s="204">
        <f t="shared" si="32"/>
        <v>0</v>
      </c>
      <c r="I249" s="204">
        <f t="shared" si="32"/>
        <v>0</v>
      </c>
      <c r="J249" s="87"/>
      <c r="K249" s="69">
        <f t="shared" si="33"/>
        <v>0</v>
      </c>
      <c r="L249" s="123">
        <f t="shared" si="34"/>
        <v>0</v>
      </c>
      <c r="M249" s="87"/>
      <c r="N249" s="135">
        <v>500002070</v>
      </c>
      <c r="O249" s="136" t="s">
        <v>506</v>
      </c>
      <c r="P249" s="96" t="s">
        <v>27</v>
      </c>
      <c r="Q249" s="155"/>
      <c r="R249" s="157"/>
    </row>
    <row r="250" spans="1:18">
      <c r="A250" s="66"/>
      <c r="B250" s="172" t="s">
        <v>507</v>
      </c>
      <c r="C250" s="66" t="s">
        <v>72</v>
      </c>
      <c r="D250" s="69"/>
      <c r="E250" s="69"/>
      <c r="F250" s="87"/>
      <c r="G250" s="86"/>
      <c r="H250" s="204">
        <f t="shared" si="32"/>
        <v>0</v>
      </c>
      <c r="I250" s="204">
        <f t="shared" si="32"/>
        <v>0</v>
      </c>
      <c r="J250" s="87"/>
      <c r="K250" s="69">
        <f t="shared" si="33"/>
        <v>0</v>
      </c>
      <c r="L250" s="123">
        <f t="shared" si="34"/>
        <v>0</v>
      </c>
      <c r="M250" s="87"/>
      <c r="N250" s="135">
        <v>200001036</v>
      </c>
      <c r="O250" s="136" t="s">
        <v>508</v>
      </c>
      <c r="P250" s="96" t="s">
        <v>32</v>
      </c>
      <c r="Q250" s="155"/>
      <c r="R250" s="157"/>
    </row>
    <row r="251" spans="1:18">
      <c r="A251" s="66"/>
      <c r="B251" s="172" t="s">
        <v>509</v>
      </c>
      <c r="C251" s="68" t="s">
        <v>72</v>
      </c>
      <c r="D251" s="69"/>
      <c r="E251" s="69"/>
      <c r="F251" s="87"/>
      <c r="G251" s="86"/>
      <c r="H251" s="204">
        <f t="shared" si="32"/>
        <v>0</v>
      </c>
      <c r="I251" s="204">
        <f t="shared" si="32"/>
        <v>0</v>
      </c>
      <c r="J251" s="87"/>
      <c r="K251" s="69">
        <f t="shared" si="33"/>
        <v>0</v>
      </c>
      <c r="L251" s="123">
        <f t="shared" si="34"/>
        <v>0</v>
      </c>
      <c r="M251" s="87"/>
      <c r="N251" s="135">
        <v>500002071</v>
      </c>
      <c r="O251" s="136" t="s">
        <v>510</v>
      </c>
      <c r="P251" s="96" t="s">
        <v>27</v>
      </c>
      <c r="Q251" s="155"/>
      <c r="R251" s="157"/>
    </row>
    <row r="252" spans="1:18">
      <c r="A252" s="66" t="s">
        <v>96</v>
      </c>
      <c r="B252" s="106" t="s">
        <v>511</v>
      </c>
      <c r="C252" s="68"/>
      <c r="D252" s="69"/>
      <c r="E252" s="69"/>
      <c r="F252" s="87"/>
      <c r="G252" s="86"/>
      <c r="H252" s="204">
        <f t="shared" si="32"/>
        <v>0</v>
      </c>
      <c r="I252" s="204">
        <f t="shared" si="32"/>
        <v>0</v>
      </c>
      <c r="J252" s="87"/>
      <c r="K252" s="69">
        <f t="shared" si="33"/>
        <v>0</v>
      </c>
      <c r="L252" s="123">
        <f t="shared" si="34"/>
        <v>0</v>
      </c>
      <c r="M252" s="87"/>
      <c r="N252" s="56"/>
      <c r="O252" s="56"/>
      <c r="P252" s="87"/>
      <c r="Q252" s="156"/>
      <c r="R252" s="157"/>
    </row>
    <row r="253" spans="1:18">
      <c r="A253" s="66"/>
      <c r="B253" s="214" t="s">
        <v>512</v>
      </c>
      <c r="C253" s="215" t="s">
        <v>123</v>
      </c>
      <c r="D253" s="69"/>
      <c r="E253" s="69"/>
      <c r="F253" s="87"/>
      <c r="G253" s="86"/>
      <c r="H253" s="204">
        <f t="shared" si="32"/>
        <v>0</v>
      </c>
      <c r="I253" s="204">
        <f t="shared" si="32"/>
        <v>0</v>
      </c>
      <c r="J253" s="87"/>
      <c r="K253" s="69">
        <f t="shared" si="33"/>
        <v>0</v>
      </c>
      <c r="L253" s="123">
        <f t="shared" si="34"/>
        <v>0</v>
      </c>
      <c r="M253" s="87"/>
      <c r="N253" s="135">
        <v>200001002</v>
      </c>
      <c r="O253" s="136" t="s">
        <v>513</v>
      </c>
      <c r="P253" s="96" t="s">
        <v>32</v>
      </c>
      <c r="Q253" s="155"/>
      <c r="R253" s="157"/>
    </row>
    <row r="254" spans="1:18">
      <c r="A254" s="66"/>
      <c r="B254" s="214" t="s">
        <v>514</v>
      </c>
      <c r="C254" s="215" t="s">
        <v>123</v>
      </c>
      <c r="D254" s="69"/>
      <c r="E254" s="69"/>
      <c r="F254" s="87"/>
      <c r="G254" s="86"/>
      <c r="H254" s="204">
        <f t="shared" si="32"/>
        <v>0</v>
      </c>
      <c r="I254" s="204">
        <f t="shared" si="32"/>
        <v>0</v>
      </c>
      <c r="J254" s="87"/>
      <c r="K254" s="69">
        <f t="shared" si="33"/>
        <v>0</v>
      </c>
      <c r="L254" s="123">
        <f t="shared" si="34"/>
        <v>0</v>
      </c>
      <c r="M254" s="87"/>
      <c r="N254" s="135">
        <v>500002072</v>
      </c>
      <c r="O254" s="136" t="s">
        <v>515</v>
      </c>
      <c r="P254" s="96" t="s">
        <v>27</v>
      </c>
      <c r="Q254" s="155"/>
      <c r="R254" s="157"/>
    </row>
    <row r="255" spans="1:18">
      <c r="A255" s="66"/>
      <c r="B255" s="216" t="s">
        <v>516</v>
      </c>
      <c r="C255" s="194" t="s">
        <v>123</v>
      </c>
      <c r="D255" s="69"/>
      <c r="E255" s="69"/>
      <c r="F255" s="87"/>
      <c r="G255" s="86"/>
      <c r="H255" s="204">
        <f t="shared" si="32"/>
        <v>0</v>
      </c>
      <c r="I255" s="204">
        <f t="shared" si="32"/>
        <v>0</v>
      </c>
      <c r="J255" s="87"/>
      <c r="K255" s="69">
        <f t="shared" si="33"/>
        <v>0</v>
      </c>
      <c r="L255" s="123">
        <f t="shared" si="34"/>
        <v>0</v>
      </c>
      <c r="M255" s="87"/>
      <c r="N255" s="135">
        <v>200001010</v>
      </c>
      <c r="O255" s="136" t="s">
        <v>517</v>
      </c>
      <c r="P255" s="96" t="s">
        <v>32</v>
      </c>
      <c r="Q255" s="155"/>
      <c r="R255" s="157"/>
    </row>
    <row r="256" spans="1:28">
      <c r="A256" s="66"/>
      <c r="B256" s="216" t="s">
        <v>518</v>
      </c>
      <c r="C256" s="215" t="s">
        <v>123</v>
      </c>
      <c r="D256" s="69"/>
      <c r="E256" s="69"/>
      <c r="F256" s="87"/>
      <c r="G256" s="86"/>
      <c r="H256" s="204">
        <f t="shared" si="32"/>
        <v>0</v>
      </c>
      <c r="I256" s="204">
        <f t="shared" si="32"/>
        <v>0</v>
      </c>
      <c r="J256" s="87"/>
      <c r="K256" s="69">
        <f t="shared" si="33"/>
        <v>0</v>
      </c>
      <c r="L256" s="123">
        <f t="shared" si="34"/>
        <v>0</v>
      </c>
      <c r="M256" s="87"/>
      <c r="N256" s="135">
        <v>500002074</v>
      </c>
      <c r="O256" s="136" t="s">
        <v>519</v>
      </c>
      <c r="P256" s="96" t="s">
        <v>27</v>
      </c>
      <c r="Q256" s="155"/>
      <c r="R256" s="157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spans="1:28">
      <c r="A257" s="66"/>
      <c r="B257" s="214" t="s">
        <v>520</v>
      </c>
      <c r="C257" s="215" t="s">
        <v>123</v>
      </c>
      <c r="D257" s="69"/>
      <c r="E257" s="69"/>
      <c r="F257" s="87"/>
      <c r="G257" s="86"/>
      <c r="H257" s="204">
        <f t="shared" si="32"/>
        <v>0</v>
      </c>
      <c r="I257" s="204">
        <f t="shared" si="32"/>
        <v>0</v>
      </c>
      <c r="J257" s="87"/>
      <c r="K257" s="69">
        <f t="shared" si="33"/>
        <v>0</v>
      </c>
      <c r="L257" s="123">
        <f t="shared" si="34"/>
        <v>0</v>
      </c>
      <c r="M257" s="87"/>
      <c r="N257" s="135">
        <v>200001020</v>
      </c>
      <c r="O257" s="136" t="s">
        <v>521</v>
      </c>
      <c r="P257" s="96" t="s">
        <v>32</v>
      </c>
      <c r="Q257" s="155"/>
      <c r="R257" s="157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spans="1:28">
      <c r="A258" s="66"/>
      <c r="B258" s="214" t="s">
        <v>522</v>
      </c>
      <c r="C258" s="215" t="s">
        <v>123</v>
      </c>
      <c r="D258" s="69"/>
      <c r="E258" s="69"/>
      <c r="F258" s="87"/>
      <c r="G258" s="86"/>
      <c r="H258" s="204">
        <f t="shared" si="32"/>
        <v>0</v>
      </c>
      <c r="I258" s="204">
        <f t="shared" si="32"/>
        <v>0</v>
      </c>
      <c r="J258" s="87"/>
      <c r="K258" s="69">
        <f t="shared" si="33"/>
        <v>0</v>
      </c>
      <c r="L258" s="123">
        <f t="shared" si="34"/>
        <v>0</v>
      </c>
      <c r="M258" s="87"/>
      <c r="N258" s="135">
        <v>500002075</v>
      </c>
      <c r="O258" s="136" t="s">
        <v>523</v>
      </c>
      <c r="P258" s="96" t="s">
        <v>27</v>
      </c>
      <c r="Q258" s="155"/>
      <c r="R258" s="157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spans="1:28">
      <c r="A259" s="66"/>
      <c r="B259" s="216" t="s">
        <v>524</v>
      </c>
      <c r="C259" s="215" t="s">
        <v>123</v>
      </c>
      <c r="D259" s="69"/>
      <c r="E259" s="69"/>
      <c r="F259" s="87"/>
      <c r="G259" s="86"/>
      <c r="H259" s="204">
        <f t="shared" si="32"/>
        <v>0</v>
      </c>
      <c r="I259" s="204">
        <f t="shared" si="32"/>
        <v>0</v>
      </c>
      <c r="J259" s="87"/>
      <c r="K259" s="69">
        <f t="shared" si="33"/>
        <v>0</v>
      </c>
      <c r="L259" s="123">
        <f t="shared" si="34"/>
        <v>0</v>
      </c>
      <c r="M259" s="87"/>
      <c r="N259" s="135">
        <v>200001037</v>
      </c>
      <c r="O259" s="136" t="s">
        <v>525</v>
      </c>
      <c r="P259" s="96" t="s">
        <v>32</v>
      </c>
      <c r="Q259" s="155"/>
      <c r="R259" s="157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spans="1:28">
      <c r="A260" s="66"/>
      <c r="B260" s="216" t="s">
        <v>526</v>
      </c>
      <c r="C260" s="215" t="s">
        <v>123</v>
      </c>
      <c r="D260" s="69"/>
      <c r="E260" s="69"/>
      <c r="F260" s="87"/>
      <c r="G260" s="86"/>
      <c r="H260" s="204">
        <f t="shared" si="32"/>
        <v>0</v>
      </c>
      <c r="I260" s="204">
        <f t="shared" si="32"/>
        <v>0</v>
      </c>
      <c r="J260" s="87"/>
      <c r="K260" s="69">
        <f t="shared" si="33"/>
        <v>0</v>
      </c>
      <c r="L260" s="123">
        <f t="shared" si="34"/>
        <v>0</v>
      </c>
      <c r="M260" s="87"/>
      <c r="N260" s="135">
        <v>500002076</v>
      </c>
      <c r="O260" s="136" t="s">
        <v>527</v>
      </c>
      <c r="P260" s="96" t="s">
        <v>27</v>
      </c>
      <c r="Q260" s="155"/>
      <c r="R260" s="157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spans="1:28">
      <c r="A261" s="66" t="s">
        <v>127</v>
      </c>
      <c r="B261" s="106" t="s">
        <v>528</v>
      </c>
      <c r="C261" s="68"/>
      <c r="D261" s="69"/>
      <c r="E261" s="69"/>
      <c r="F261" s="87"/>
      <c r="G261" s="86"/>
      <c r="H261" s="204">
        <f t="shared" si="32"/>
        <v>0</v>
      </c>
      <c r="I261" s="204">
        <f t="shared" si="32"/>
        <v>0</v>
      </c>
      <c r="J261" s="87"/>
      <c r="K261" s="69">
        <f t="shared" si="33"/>
        <v>0</v>
      </c>
      <c r="L261" s="123">
        <f t="shared" si="34"/>
        <v>0</v>
      </c>
      <c r="M261" s="87"/>
      <c r="N261" s="56"/>
      <c r="O261" s="56"/>
      <c r="P261" s="87"/>
      <c r="Q261" s="156"/>
      <c r="R261" s="157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spans="1:28">
      <c r="A262" s="66"/>
      <c r="B262" s="214" t="s">
        <v>529</v>
      </c>
      <c r="C262" s="215" t="s">
        <v>123</v>
      </c>
      <c r="D262" s="69"/>
      <c r="E262" s="69"/>
      <c r="F262" s="87"/>
      <c r="G262" s="86"/>
      <c r="H262" s="204">
        <f t="shared" si="32"/>
        <v>0</v>
      </c>
      <c r="I262" s="204">
        <f t="shared" si="32"/>
        <v>0</v>
      </c>
      <c r="J262" s="87"/>
      <c r="K262" s="69">
        <f t="shared" si="33"/>
        <v>0</v>
      </c>
      <c r="L262" s="123">
        <f t="shared" si="34"/>
        <v>0</v>
      </c>
      <c r="M262" s="87"/>
      <c r="N262" s="135">
        <v>200001029</v>
      </c>
      <c r="O262" s="136" t="s">
        <v>530</v>
      </c>
      <c r="P262" s="96" t="s">
        <v>32</v>
      </c>
      <c r="Q262" s="155"/>
      <c r="R262" s="157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spans="1:28">
      <c r="A263" s="66"/>
      <c r="B263" s="214" t="s">
        <v>531</v>
      </c>
      <c r="C263" s="215" t="s">
        <v>123</v>
      </c>
      <c r="D263" s="69"/>
      <c r="E263" s="69"/>
      <c r="F263" s="87"/>
      <c r="G263" s="86"/>
      <c r="H263" s="204">
        <f t="shared" si="32"/>
        <v>0</v>
      </c>
      <c r="I263" s="204">
        <f t="shared" si="32"/>
        <v>0</v>
      </c>
      <c r="J263" s="87"/>
      <c r="K263" s="69">
        <f t="shared" si="33"/>
        <v>0</v>
      </c>
      <c r="L263" s="123">
        <f t="shared" si="34"/>
        <v>0</v>
      </c>
      <c r="M263" s="87"/>
      <c r="N263" s="135">
        <v>500002077</v>
      </c>
      <c r="O263" s="136" t="s">
        <v>532</v>
      </c>
      <c r="P263" s="96" t="s">
        <v>27</v>
      </c>
      <c r="Q263" s="155"/>
      <c r="R263" s="157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spans="1:28">
      <c r="A264" s="66"/>
      <c r="B264" s="216" t="s">
        <v>533</v>
      </c>
      <c r="C264" s="215" t="s">
        <v>123</v>
      </c>
      <c r="D264" s="69"/>
      <c r="E264" s="69"/>
      <c r="F264" s="87"/>
      <c r="G264" s="86"/>
      <c r="H264" s="204">
        <f t="shared" si="32"/>
        <v>0</v>
      </c>
      <c r="I264" s="204">
        <f t="shared" si="32"/>
        <v>0</v>
      </c>
      <c r="J264" s="87"/>
      <c r="K264" s="69">
        <f t="shared" si="33"/>
        <v>0</v>
      </c>
      <c r="L264" s="123">
        <f t="shared" si="34"/>
        <v>0</v>
      </c>
      <c r="M264" s="87"/>
      <c r="N264" s="135">
        <v>200001026</v>
      </c>
      <c r="O264" s="136" t="s">
        <v>534</v>
      </c>
      <c r="P264" s="96" t="s">
        <v>32</v>
      </c>
      <c r="Q264" s="155"/>
      <c r="R264" s="157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spans="1:28">
      <c r="A265" s="66"/>
      <c r="B265" s="216" t="s">
        <v>535</v>
      </c>
      <c r="C265" s="215" t="s">
        <v>123</v>
      </c>
      <c r="D265" s="69"/>
      <c r="E265" s="69"/>
      <c r="F265" s="87"/>
      <c r="G265" s="86"/>
      <c r="H265" s="204">
        <f t="shared" si="32"/>
        <v>0</v>
      </c>
      <c r="I265" s="204">
        <f t="shared" si="32"/>
        <v>0</v>
      </c>
      <c r="J265" s="87"/>
      <c r="K265" s="69">
        <f t="shared" si="33"/>
        <v>0</v>
      </c>
      <c r="L265" s="123">
        <f t="shared" si="34"/>
        <v>0</v>
      </c>
      <c r="M265" s="87"/>
      <c r="N265" s="135">
        <v>500002078</v>
      </c>
      <c r="O265" s="136" t="s">
        <v>536</v>
      </c>
      <c r="P265" s="96" t="s">
        <v>27</v>
      </c>
      <c r="Q265" s="155"/>
      <c r="R265" s="157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spans="1:28">
      <c r="A266" s="66"/>
      <c r="B266" s="214" t="s">
        <v>537</v>
      </c>
      <c r="C266" s="215" t="s">
        <v>123</v>
      </c>
      <c r="D266" s="69"/>
      <c r="E266" s="69"/>
      <c r="F266" s="87"/>
      <c r="G266" s="86"/>
      <c r="H266" s="204">
        <f t="shared" si="32"/>
        <v>0</v>
      </c>
      <c r="I266" s="204">
        <f t="shared" si="32"/>
        <v>0</v>
      </c>
      <c r="J266" s="87"/>
      <c r="K266" s="69">
        <f t="shared" si="33"/>
        <v>0</v>
      </c>
      <c r="L266" s="123">
        <f t="shared" si="34"/>
        <v>0</v>
      </c>
      <c r="M266" s="87"/>
      <c r="N266" s="135">
        <v>200000990</v>
      </c>
      <c r="O266" s="136" t="s">
        <v>538</v>
      </c>
      <c r="P266" s="96" t="s">
        <v>32</v>
      </c>
      <c r="Q266" s="155"/>
      <c r="R266" s="157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spans="1:28">
      <c r="A267" s="66"/>
      <c r="B267" s="214" t="s">
        <v>539</v>
      </c>
      <c r="C267" s="215" t="s">
        <v>123</v>
      </c>
      <c r="D267" s="69"/>
      <c r="E267" s="69"/>
      <c r="F267" s="87"/>
      <c r="G267" s="86"/>
      <c r="H267" s="204">
        <f t="shared" si="32"/>
        <v>0</v>
      </c>
      <c r="I267" s="204">
        <f t="shared" si="32"/>
        <v>0</v>
      </c>
      <c r="J267" s="87"/>
      <c r="K267" s="69">
        <f t="shared" si="33"/>
        <v>0</v>
      </c>
      <c r="L267" s="123">
        <f t="shared" si="34"/>
        <v>0</v>
      </c>
      <c r="M267" s="87"/>
      <c r="N267" s="135">
        <v>500002079</v>
      </c>
      <c r="O267" s="136" t="s">
        <v>540</v>
      </c>
      <c r="P267" s="96" t="s">
        <v>27</v>
      </c>
      <c r="Q267" s="155"/>
      <c r="R267" s="157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spans="1:28">
      <c r="A268" s="66"/>
      <c r="B268" s="216" t="s">
        <v>516</v>
      </c>
      <c r="C268" s="215" t="s">
        <v>123</v>
      </c>
      <c r="D268" s="69"/>
      <c r="E268" s="69"/>
      <c r="F268" s="87"/>
      <c r="G268" s="86"/>
      <c r="H268" s="204">
        <f t="shared" si="32"/>
        <v>0</v>
      </c>
      <c r="I268" s="204">
        <f t="shared" si="32"/>
        <v>0</v>
      </c>
      <c r="J268" s="87"/>
      <c r="K268" s="69">
        <f t="shared" si="33"/>
        <v>0</v>
      </c>
      <c r="L268" s="123">
        <f t="shared" si="34"/>
        <v>0</v>
      </c>
      <c r="M268" s="87"/>
      <c r="N268" s="135">
        <v>200001019</v>
      </c>
      <c r="O268" s="136" t="s">
        <v>541</v>
      </c>
      <c r="P268" s="96" t="s">
        <v>32</v>
      </c>
      <c r="Q268" s="155"/>
      <c r="R268" s="157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spans="1:28">
      <c r="A269" s="66"/>
      <c r="B269" s="216" t="s">
        <v>518</v>
      </c>
      <c r="C269" s="215" t="s">
        <v>123</v>
      </c>
      <c r="D269" s="69"/>
      <c r="E269" s="69"/>
      <c r="F269" s="87"/>
      <c r="G269" s="86"/>
      <c r="H269" s="204">
        <f t="shared" si="32"/>
        <v>0</v>
      </c>
      <c r="I269" s="204">
        <f t="shared" si="32"/>
        <v>0</v>
      </c>
      <c r="J269" s="87"/>
      <c r="K269" s="69">
        <f t="shared" si="33"/>
        <v>0</v>
      </c>
      <c r="L269" s="123">
        <f t="shared" si="34"/>
        <v>0</v>
      </c>
      <c r="M269" s="87"/>
      <c r="N269" s="135">
        <v>500002080</v>
      </c>
      <c r="O269" s="136" t="s">
        <v>542</v>
      </c>
      <c r="P269" s="96" t="s">
        <v>27</v>
      </c>
      <c r="Q269" s="155"/>
      <c r="R269" s="157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spans="1:28">
      <c r="A270" s="66" t="s">
        <v>133</v>
      </c>
      <c r="B270" s="106" t="s">
        <v>543</v>
      </c>
      <c r="C270" s="68"/>
      <c r="D270" s="69"/>
      <c r="E270" s="69"/>
      <c r="F270" s="87"/>
      <c r="G270" s="86"/>
      <c r="H270" s="204">
        <f t="shared" si="32"/>
        <v>0</v>
      </c>
      <c r="I270" s="204">
        <f t="shared" si="32"/>
        <v>0</v>
      </c>
      <c r="J270" s="87"/>
      <c r="K270" s="69">
        <f t="shared" si="33"/>
        <v>0</v>
      </c>
      <c r="L270" s="123">
        <f t="shared" si="34"/>
        <v>0</v>
      </c>
      <c r="M270" s="87"/>
      <c r="N270" s="56"/>
      <c r="O270" s="56"/>
      <c r="P270" s="87"/>
      <c r="Q270" s="156"/>
      <c r="R270" s="157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spans="1:28">
      <c r="A271" s="66"/>
      <c r="B271" s="106" t="s">
        <v>544</v>
      </c>
      <c r="C271" s="194" t="s">
        <v>198</v>
      </c>
      <c r="D271" s="69"/>
      <c r="E271" s="69"/>
      <c r="F271" s="87"/>
      <c r="G271" s="86"/>
      <c r="H271" s="204">
        <f t="shared" si="32"/>
        <v>0</v>
      </c>
      <c r="I271" s="204">
        <f t="shared" si="32"/>
        <v>0</v>
      </c>
      <c r="J271" s="87"/>
      <c r="K271" s="69">
        <f t="shared" si="33"/>
        <v>0</v>
      </c>
      <c r="L271" s="123">
        <f t="shared" si="34"/>
        <v>0</v>
      </c>
      <c r="M271" s="87"/>
      <c r="N271" s="135">
        <v>100000187</v>
      </c>
      <c r="O271" s="195" t="s">
        <v>545</v>
      </c>
      <c r="P271" s="96" t="s">
        <v>32</v>
      </c>
      <c r="Q271" s="155"/>
      <c r="R271" s="147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spans="1:18">
      <c r="A272" s="66"/>
      <c r="B272" s="106" t="s">
        <v>546</v>
      </c>
      <c r="C272" s="194" t="s">
        <v>198</v>
      </c>
      <c r="D272" s="69"/>
      <c r="E272" s="69"/>
      <c r="F272" s="87"/>
      <c r="G272" s="86"/>
      <c r="H272" s="204">
        <f t="shared" si="32"/>
        <v>0</v>
      </c>
      <c r="I272" s="204">
        <f t="shared" si="32"/>
        <v>0</v>
      </c>
      <c r="J272" s="87"/>
      <c r="K272" s="69">
        <f t="shared" si="33"/>
        <v>0</v>
      </c>
      <c r="L272" s="123">
        <f t="shared" si="34"/>
        <v>0</v>
      </c>
      <c r="M272" s="87"/>
      <c r="N272" s="135">
        <v>100000188</v>
      </c>
      <c r="O272" s="136" t="s">
        <v>547</v>
      </c>
      <c r="P272" s="96" t="s">
        <v>32</v>
      </c>
      <c r="Q272" s="155"/>
      <c r="R272" s="147"/>
    </row>
    <row r="273" spans="1:18">
      <c r="A273" s="66"/>
      <c r="B273" s="106" t="s">
        <v>548</v>
      </c>
      <c r="C273" s="194" t="s">
        <v>198</v>
      </c>
      <c r="D273" s="69"/>
      <c r="E273" s="69"/>
      <c r="F273" s="87"/>
      <c r="G273" s="86"/>
      <c r="H273" s="204">
        <f t="shared" si="32"/>
        <v>0</v>
      </c>
      <c r="I273" s="204">
        <f t="shared" si="32"/>
        <v>0</v>
      </c>
      <c r="J273" s="87"/>
      <c r="K273" s="69">
        <f t="shared" si="33"/>
        <v>0</v>
      </c>
      <c r="L273" s="123">
        <f t="shared" si="34"/>
        <v>0</v>
      </c>
      <c r="M273" s="87"/>
      <c r="N273" s="135">
        <v>100000189</v>
      </c>
      <c r="O273" s="136" t="s">
        <v>549</v>
      </c>
      <c r="P273" s="96" t="s">
        <v>32</v>
      </c>
      <c r="Q273" s="155"/>
      <c r="R273" s="147"/>
    </row>
    <row r="274" spans="1:18">
      <c r="A274" s="66"/>
      <c r="B274" s="106" t="s">
        <v>550</v>
      </c>
      <c r="C274" s="194" t="s">
        <v>198</v>
      </c>
      <c r="D274" s="69"/>
      <c r="E274" s="69"/>
      <c r="F274" s="87"/>
      <c r="G274" s="86"/>
      <c r="H274" s="204">
        <f t="shared" si="32"/>
        <v>0</v>
      </c>
      <c r="I274" s="204">
        <f t="shared" si="32"/>
        <v>0</v>
      </c>
      <c r="J274" s="87"/>
      <c r="K274" s="69">
        <f t="shared" si="33"/>
        <v>0</v>
      </c>
      <c r="L274" s="123">
        <f t="shared" si="34"/>
        <v>0</v>
      </c>
      <c r="M274" s="87"/>
      <c r="N274" s="135">
        <v>100000820</v>
      </c>
      <c r="O274" s="136" t="s">
        <v>551</v>
      </c>
      <c r="P274" s="96" t="s">
        <v>32</v>
      </c>
      <c r="Q274" s="155"/>
      <c r="R274" s="147"/>
    </row>
    <row r="275" spans="1:18">
      <c r="A275" s="66"/>
      <c r="B275" s="106" t="s">
        <v>552</v>
      </c>
      <c r="C275" s="194" t="s">
        <v>198</v>
      </c>
      <c r="D275" s="69"/>
      <c r="E275" s="69"/>
      <c r="F275" s="87"/>
      <c r="G275" s="86"/>
      <c r="H275" s="204">
        <f t="shared" si="32"/>
        <v>0</v>
      </c>
      <c r="I275" s="204">
        <f t="shared" si="32"/>
        <v>0</v>
      </c>
      <c r="J275" s="87"/>
      <c r="K275" s="69">
        <f t="shared" si="33"/>
        <v>0</v>
      </c>
      <c r="L275" s="123">
        <f t="shared" si="34"/>
        <v>0</v>
      </c>
      <c r="M275" s="87"/>
      <c r="N275" s="135">
        <v>100000821</v>
      </c>
      <c r="O275" s="136" t="s">
        <v>553</v>
      </c>
      <c r="P275" s="96" t="s">
        <v>32</v>
      </c>
      <c r="Q275" s="155"/>
      <c r="R275" s="147"/>
    </row>
    <row r="276" spans="1:18">
      <c r="A276" s="66" t="s">
        <v>139</v>
      </c>
      <c r="B276" s="106" t="s">
        <v>554</v>
      </c>
      <c r="C276" s="194"/>
      <c r="D276" s="69"/>
      <c r="E276" s="69"/>
      <c r="F276" s="87"/>
      <c r="G276" s="86"/>
      <c r="H276" s="204">
        <f t="shared" si="32"/>
        <v>0</v>
      </c>
      <c r="I276" s="204">
        <f t="shared" si="32"/>
        <v>0</v>
      </c>
      <c r="J276" s="87"/>
      <c r="K276" s="69">
        <f t="shared" si="33"/>
        <v>0</v>
      </c>
      <c r="L276" s="123">
        <f t="shared" si="34"/>
        <v>0</v>
      </c>
      <c r="M276" s="87"/>
      <c r="N276" s="56"/>
      <c r="O276" s="56"/>
      <c r="P276" s="87"/>
      <c r="Q276" s="156"/>
      <c r="R276" s="157"/>
    </row>
    <row r="277" spans="1:18">
      <c r="A277" s="66"/>
      <c r="B277" s="106" t="s">
        <v>555</v>
      </c>
      <c r="C277" s="68" t="s">
        <v>198</v>
      </c>
      <c r="D277" s="69"/>
      <c r="E277" s="69"/>
      <c r="F277" s="87"/>
      <c r="G277" s="86"/>
      <c r="H277" s="204">
        <f t="shared" si="32"/>
        <v>0</v>
      </c>
      <c r="I277" s="204">
        <f t="shared" si="32"/>
        <v>0</v>
      </c>
      <c r="J277" s="87"/>
      <c r="K277" s="69">
        <f t="shared" si="33"/>
        <v>0</v>
      </c>
      <c r="L277" s="123">
        <f t="shared" si="34"/>
        <v>0</v>
      </c>
      <c r="M277" s="87"/>
      <c r="N277" s="145">
        <v>200000069</v>
      </c>
      <c r="O277" s="95" t="s">
        <v>556</v>
      </c>
      <c r="P277" s="96" t="s">
        <v>32</v>
      </c>
      <c r="Q277" s="155"/>
      <c r="R277" s="147"/>
    </row>
    <row r="278" spans="1:18">
      <c r="A278" s="66"/>
      <c r="B278" s="106" t="s">
        <v>557</v>
      </c>
      <c r="C278" s="68" t="s">
        <v>198</v>
      </c>
      <c r="D278" s="69"/>
      <c r="E278" s="69"/>
      <c r="F278" s="87"/>
      <c r="G278" s="86"/>
      <c r="H278" s="204">
        <f t="shared" si="32"/>
        <v>0</v>
      </c>
      <c r="I278" s="204">
        <f t="shared" si="32"/>
        <v>0</v>
      </c>
      <c r="J278" s="87"/>
      <c r="K278" s="69">
        <f t="shared" si="33"/>
        <v>0</v>
      </c>
      <c r="L278" s="123">
        <f t="shared" si="34"/>
        <v>0</v>
      </c>
      <c r="M278" s="87"/>
      <c r="N278" s="135">
        <v>200001025</v>
      </c>
      <c r="O278" s="136" t="s">
        <v>558</v>
      </c>
      <c r="P278" s="96" t="s">
        <v>32</v>
      </c>
      <c r="Q278" s="155"/>
      <c r="R278" s="147"/>
    </row>
    <row r="279" spans="1:18">
      <c r="A279" s="66"/>
      <c r="B279" s="106" t="s">
        <v>559</v>
      </c>
      <c r="C279" s="68" t="s">
        <v>198</v>
      </c>
      <c r="D279" s="69"/>
      <c r="E279" s="69"/>
      <c r="F279" s="87"/>
      <c r="G279" s="86"/>
      <c r="H279" s="204">
        <f t="shared" si="32"/>
        <v>0</v>
      </c>
      <c r="I279" s="204">
        <f t="shared" si="32"/>
        <v>0</v>
      </c>
      <c r="J279" s="87"/>
      <c r="K279" s="69">
        <f t="shared" si="33"/>
        <v>0</v>
      </c>
      <c r="L279" s="123">
        <f t="shared" si="34"/>
        <v>0</v>
      </c>
      <c r="M279" s="87"/>
      <c r="N279" s="135">
        <v>200001024</v>
      </c>
      <c r="O279" s="136" t="s">
        <v>560</v>
      </c>
      <c r="P279" s="96" t="s">
        <v>32</v>
      </c>
      <c r="Q279" s="155"/>
      <c r="R279" s="147"/>
    </row>
    <row r="280" spans="1:18">
      <c r="A280" s="66"/>
      <c r="B280" s="106" t="s">
        <v>561</v>
      </c>
      <c r="C280" s="68" t="s">
        <v>198</v>
      </c>
      <c r="D280" s="69"/>
      <c r="E280" s="69"/>
      <c r="F280" s="87"/>
      <c r="G280" s="86"/>
      <c r="H280" s="204">
        <f t="shared" si="32"/>
        <v>0</v>
      </c>
      <c r="I280" s="204">
        <f t="shared" si="32"/>
        <v>0</v>
      </c>
      <c r="J280" s="87"/>
      <c r="K280" s="69">
        <f t="shared" si="33"/>
        <v>0</v>
      </c>
      <c r="L280" s="123">
        <f t="shared" si="34"/>
        <v>0</v>
      </c>
      <c r="M280" s="87"/>
      <c r="N280" s="135">
        <v>200000251</v>
      </c>
      <c r="O280" s="136" t="s">
        <v>562</v>
      </c>
      <c r="P280" s="96" t="s">
        <v>32</v>
      </c>
      <c r="Q280" s="155"/>
      <c r="R280" s="147"/>
    </row>
    <row r="281" s="37" customFormat="1" spans="1:28">
      <c r="A281" s="166" t="s">
        <v>563</v>
      </c>
      <c r="B281" s="166"/>
      <c r="C281" s="226"/>
      <c r="D281" s="78"/>
      <c r="E281" s="78"/>
      <c r="F281" s="227"/>
      <c r="G281" s="79"/>
      <c r="H281" s="80">
        <f>SUM(H245:H280)</f>
        <v>0</v>
      </c>
      <c r="I281" s="80">
        <f>SUM(I245:I280)</f>
        <v>0</v>
      </c>
      <c r="J281" s="80">
        <f>H281+I281</f>
        <v>0</v>
      </c>
      <c r="K281" s="227"/>
      <c r="L281" s="227"/>
      <c r="M281" s="227"/>
      <c r="N281" s="264"/>
      <c r="O281" s="264"/>
      <c r="P281" s="227"/>
      <c r="Q281" s="155"/>
      <c r="R281" s="147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 spans="1:18">
      <c r="A282" s="228"/>
      <c r="B282" s="202"/>
      <c r="C282" s="168"/>
      <c r="D282" s="85"/>
      <c r="E282" s="85"/>
      <c r="F282" s="170"/>
      <c r="G282" s="86"/>
      <c r="H282" s="170"/>
      <c r="I282" s="170"/>
      <c r="J282" s="170"/>
      <c r="K282" s="170"/>
      <c r="L282" s="170"/>
      <c r="M282" s="170"/>
      <c r="N282" s="185"/>
      <c r="O282" s="185"/>
      <c r="P282" s="265"/>
      <c r="Q282" s="155"/>
      <c r="R282" s="147"/>
    </row>
    <row r="283" s="36" customFormat="1" spans="1:28">
      <c r="A283" s="61">
        <v>2.5</v>
      </c>
      <c r="B283" s="62" t="s">
        <v>564</v>
      </c>
      <c r="C283" s="63"/>
      <c r="D283" s="93"/>
      <c r="E283" s="93"/>
      <c r="F283" s="229"/>
      <c r="G283" s="229"/>
      <c r="H283" s="229"/>
      <c r="I283" s="229"/>
      <c r="J283" s="65"/>
      <c r="K283" s="229"/>
      <c r="L283" s="229"/>
      <c r="M283" s="229"/>
      <c r="N283" s="63"/>
      <c r="O283" s="63"/>
      <c r="P283" s="229"/>
      <c r="Q283" s="276"/>
      <c r="R283" s="147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 spans="1:18">
      <c r="A284" s="66"/>
      <c r="B284" s="106" t="s">
        <v>565</v>
      </c>
      <c r="C284" s="68"/>
      <c r="D284" s="69"/>
      <c r="E284" s="69"/>
      <c r="F284" s="230"/>
      <c r="G284" s="86"/>
      <c r="H284" s="204">
        <f t="shared" ref="H284:H287" si="35">D284*F284</f>
        <v>0</v>
      </c>
      <c r="I284" s="266">
        <f>E284*G284</f>
        <v>0</v>
      </c>
      <c r="J284" s="132"/>
      <c r="K284" s="69">
        <f>D284+E284</f>
        <v>0</v>
      </c>
      <c r="L284" s="123">
        <f t="shared" ref="L284:L287" si="36">F284+G284</f>
        <v>0</v>
      </c>
      <c r="M284" s="230"/>
      <c r="N284" s="68"/>
      <c r="O284" s="68"/>
      <c r="P284" s="230"/>
      <c r="Q284" s="276"/>
      <c r="R284" s="147"/>
    </row>
    <row r="285" spans="1:18">
      <c r="A285" s="66" t="s">
        <v>566</v>
      </c>
      <c r="B285" s="95" t="s">
        <v>567</v>
      </c>
      <c r="C285" s="162" t="s">
        <v>205</v>
      </c>
      <c r="D285" s="69"/>
      <c r="E285" s="69"/>
      <c r="F285" s="96"/>
      <c r="G285" s="134"/>
      <c r="H285" s="204">
        <f t="shared" si="35"/>
        <v>0</v>
      </c>
      <c r="I285" s="266">
        <f>E285*G285</f>
        <v>0</v>
      </c>
      <c r="J285" s="132"/>
      <c r="K285" s="69">
        <f t="shared" ref="K285:K287" si="37">D285+E285</f>
        <v>0</v>
      </c>
      <c r="L285" s="123">
        <f t="shared" si="36"/>
        <v>0</v>
      </c>
      <c r="M285" s="230"/>
      <c r="N285" s="135">
        <v>500002085</v>
      </c>
      <c r="O285" s="136" t="s">
        <v>568</v>
      </c>
      <c r="P285" s="96" t="s">
        <v>27</v>
      </c>
      <c r="Q285" s="155"/>
      <c r="R285" s="147"/>
    </row>
    <row r="286" spans="1:18">
      <c r="A286" s="144" t="s">
        <v>569</v>
      </c>
      <c r="B286" s="95" t="s">
        <v>570</v>
      </c>
      <c r="C286" s="162" t="s">
        <v>205</v>
      </c>
      <c r="D286" s="69"/>
      <c r="E286" s="69"/>
      <c r="F286" s="96"/>
      <c r="G286" s="71"/>
      <c r="H286" s="204">
        <f t="shared" si="35"/>
        <v>0</v>
      </c>
      <c r="I286" s="266">
        <f>E286*G286</f>
        <v>0</v>
      </c>
      <c r="J286" s="132"/>
      <c r="K286" s="69">
        <f t="shared" si="37"/>
        <v>0</v>
      </c>
      <c r="L286" s="123">
        <f t="shared" si="36"/>
        <v>0</v>
      </c>
      <c r="M286" s="133"/>
      <c r="N286" s="135">
        <v>500002106</v>
      </c>
      <c r="O286" s="136" t="s">
        <v>571</v>
      </c>
      <c r="P286" s="96" t="s">
        <v>27</v>
      </c>
      <c r="Q286" s="155"/>
      <c r="R286" s="147"/>
    </row>
    <row r="287" spans="1:18">
      <c r="A287" s="144" t="s">
        <v>572</v>
      </c>
      <c r="B287" s="95" t="s">
        <v>573</v>
      </c>
      <c r="C287" s="162" t="s">
        <v>205</v>
      </c>
      <c r="D287" s="69"/>
      <c r="E287" s="70">
        <f>'BoM AE'!C76</f>
        <v>0</v>
      </c>
      <c r="F287" s="134"/>
      <c r="G287" s="71"/>
      <c r="H287" s="204">
        <f t="shared" si="35"/>
        <v>0</v>
      </c>
      <c r="I287" s="266">
        <f>E287*G287</f>
        <v>0</v>
      </c>
      <c r="J287" s="132"/>
      <c r="K287" s="69">
        <f t="shared" si="37"/>
        <v>0</v>
      </c>
      <c r="L287" s="123">
        <f t="shared" si="36"/>
        <v>0</v>
      </c>
      <c r="M287" s="133"/>
      <c r="N287" s="135">
        <v>500002107</v>
      </c>
      <c r="O287" s="136" t="s">
        <v>574</v>
      </c>
      <c r="P287" s="96" t="s">
        <v>27</v>
      </c>
      <c r="Q287" s="155"/>
      <c r="R287" s="147"/>
    </row>
    <row r="288" s="37" customFormat="1" spans="1:28">
      <c r="A288" s="166" t="s">
        <v>575</v>
      </c>
      <c r="B288" s="166"/>
      <c r="C288" s="231"/>
      <c r="D288" s="78"/>
      <c r="E288" s="78"/>
      <c r="F288" s="232"/>
      <c r="G288" s="79"/>
      <c r="H288" s="80">
        <f>SUM(H284:H287)</f>
        <v>0</v>
      </c>
      <c r="I288" s="267">
        <f>SUM(I284:I287)</f>
        <v>0</v>
      </c>
      <c r="J288" s="236">
        <f>H288+I288</f>
        <v>0</v>
      </c>
      <c r="K288" s="267"/>
      <c r="L288" s="267"/>
      <c r="M288" s="232"/>
      <c r="N288" s="166"/>
      <c r="O288" s="231"/>
      <c r="P288" s="232"/>
      <c r="Q288" s="277"/>
      <c r="R288" s="157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 spans="1:18">
      <c r="A289" s="66"/>
      <c r="B289" s="233"/>
      <c r="C289" s="169"/>
      <c r="D289" s="85"/>
      <c r="E289" s="85"/>
      <c r="F289" s="170"/>
      <c r="G289" s="86"/>
      <c r="H289" s="234"/>
      <c r="I289" s="234"/>
      <c r="J289" s="234"/>
      <c r="K289" s="234"/>
      <c r="L289" s="234"/>
      <c r="M289" s="184"/>
      <c r="N289" s="169"/>
      <c r="O289" s="169"/>
      <c r="P289" s="186"/>
      <c r="Q289" s="155"/>
      <c r="R289" s="147"/>
    </row>
    <row r="290" s="36" customFormat="1" spans="1:28">
      <c r="A290" s="61">
        <v>2.6</v>
      </c>
      <c r="B290" s="62" t="s">
        <v>576</v>
      </c>
      <c r="C290" s="63"/>
      <c r="D290" s="93"/>
      <c r="E290" s="93"/>
      <c r="F290" s="63"/>
      <c r="G290" s="63"/>
      <c r="H290" s="63"/>
      <c r="I290" s="63"/>
      <c r="J290" s="122"/>
      <c r="K290" s="63"/>
      <c r="L290" s="63"/>
      <c r="M290" s="65"/>
      <c r="N290" s="122"/>
      <c r="O290" s="122"/>
      <c r="P290" s="65"/>
      <c r="Q290" s="155"/>
      <c r="R290" s="147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 spans="1:18">
      <c r="A291" s="144" t="s">
        <v>39</v>
      </c>
      <c r="B291" s="107" t="s">
        <v>577</v>
      </c>
      <c r="C291" s="235" t="s">
        <v>42</v>
      </c>
      <c r="D291" s="69"/>
      <c r="E291" s="70">
        <f>'BoM AE'!C79</f>
        <v>0</v>
      </c>
      <c r="F291" s="96"/>
      <c r="G291" s="71"/>
      <c r="H291" s="204">
        <f>D291*F291</f>
        <v>0</v>
      </c>
      <c r="I291" s="86">
        <f>E291*G291</f>
        <v>0</v>
      </c>
      <c r="J291" s="86"/>
      <c r="K291" s="69">
        <f>D291+E291</f>
        <v>0</v>
      </c>
      <c r="L291" s="123">
        <f>F291+G291</f>
        <v>0</v>
      </c>
      <c r="M291" s="133"/>
      <c r="N291" s="144">
        <v>500001519</v>
      </c>
      <c r="O291" s="187" t="s">
        <v>578</v>
      </c>
      <c r="P291" s="133"/>
      <c r="Q291" s="155"/>
      <c r="R291" s="147"/>
    </row>
    <row r="292" ht="27.6" spans="1:18">
      <c r="A292" s="66" t="s">
        <v>96</v>
      </c>
      <c r="B292" s="107" t="s">
        <v>579</v>
      </c>
      <c r="C292" s="235" t="s">
        <v>580</v>
      </c>
      <c r="D292" s="69"/>
      <c r="E292" s="70">
        <v>1</v>
      </c>
      <c r="F292" s="96"/>
      <c r="G292" s="71"/>
      <c r="H292" s="204">
        <f>D292*F292</f>
        <v>0</v>
      </c>
      <c r="I292" s="86">
        <f>E292*G292</f>
        <v>0</v>
      </c>
      <c r="J292" s="86"/>
      <c r="K292" s="69">
        <f>D292+E292</f>
        <v>1</v>
      </c>
      <c r="L292" s="123">
        <f>F292+G292</f>
        <v>0</v>
      </c>
      <c r="M292" s="133"/>
      <c r="N292" s="135">
        <v>500002108</v>
      </c>
      <c r="O292" s="125" t="s">
        <v>581</v>
      </c>
      <c r="P292" s="96" t="s">
        <v>27</v>
      </c>
      <c r="Q292" s="155"/>
      <c r="R292" s="147"/>
    </row>
    <row r="293" s="37" customFormat="1" spans="1:28">
      <c r="A293" s="166" t="s">
        <v>582</v>
      </c>
      <c r="B293" s="166"/>
      <c r="C293" s="166"/>
      <c r="D293" s="78"/>
      <c r="E293" s="78"/>
      <c r="F293" s="80"/>
      <c r="G293" s="236"/>
      <c r="H293" s="236">
        <f>SUM(H291:H292)</f>
        <v>0</v>
      </c>
      <c r="I293" s="236">
        <f>SUM(I291:I292)</f>
        <v>0</v>
      </c>
      <c r="J293" s="236">
        <f>H293+I293</f>
        <v>0</v>
      </c>
      <c r="K293" s="236"/>
      <c r="L293" s="236"/>
      <c r="M293" s="80"/>
      <c r="N293" s="183"/>
      <c r="O293" s="183"/>
      <c r="P293" s="80"/>
      <c r="Q293" s="156"/>
      <c r="R293" s="157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 spans="1:18">
      <c r="A294" s="66"/>
      <c r="B294" s="233"/>
      <c r="C294" s="168"/>
      <c r="D294" s="85"/>
      <c r="E294" s="85"/>
      <c r="F294" s="170"/>
      <c r="G294" s="234"/>
      <c r="H294" s="234"/>
      <c r="I294" s="234"/>
      <c r="J294" s="234"/>
      <c r="K294" s="234"/>
      <c r="L294" s="234"/>
      <c r="M294" s="170"/>
      <c r="N294" s="185"/>
      <c r="O294" s="185"/>
      <c r="P294" s="265"/>
      <c r="Q294" s="155"/>
      <c r="R294" s="147"/>
    </row>
    <row r="295" s="36" customFormat="1" spans="1:28">
      <c r="A295" s="61">
        <v>3</v>
      </c>
      <c r="B295" s="62" t="s">
        <v>583</v>
      </c>
      <c r="C295" s="63"/>
      <c r="D295" s="93"/>
      <c r="E295" s="93"/>
      <c r="F295" s="63"/>
      <c r="G295" s="63"/>
      <c r="H295" s="63"/>
      <c r="I295" s="63"/>
      <c r="J295" s="122"/>
      <c r="K295" s="63"/>
      <c r="L295" s="63"/>
      <c r="M295" s="65"/>
      <c r="N295" s="122"/>
      <c r="O295" s="122"/>
      <c r="P295" s="65"/>
      <c r="Q295" s="155"/>
      <c r="R295" s="147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 spans="1:18">
      <c r="A296" s="66" t="s">
        <v>39</v>
      </c>
      <c r="B296" s="237" t="s">
        <v>584</v>
      </c>
      <c r="C296" s="68" t="s">
        <v>42</v>
      </c>
      <c r="D296" s="69"/>
      <c r="E296" s="205">
        <f>E291</f>
        <v>0</v>
      </c>
      <c r="F296" s="96"/>
      <c r="G296" s="71"/>
      <c r="H296" s="204">
        <f>D296*F296</f>
        <v>0</v>
      </c>
      <c r="I296" s="86">
        <f>E296*G296</f>
        <v>0</v>
      </c>
      <c r="J296" s="86"/>
      <c r="K296" s="69">
        <f>D296+E296</f>
        <v>0</v>
      </c>
      <c r="L296" s="123">
        <f t="shared" ref="L296" si="38">F296+G296</f>
        <v>0</v>
      </c>
      <c r="M296" s="96"/>
      <c r="N296" s="68">
        <v>500001887</v>
      </c>
      <c r="O296" s="237" t="s">
        <v>585</v>
      </c>
      <c r="P296" s="96" t="s">
        <v>27</v>
      </c>
      <c r="Q296" s="155"/>
      <c r="R296" s="147"/>
    </row>
    <row r="297" s="37" customFormat="1" spans="1:28">
      <c r="A297" s="166" t="s">
        <v>586</v>
      </c>
      <c r="B297" s="166"/>
      <c r="C297" s="166"/>
      <c r="D297" s="78"/>
      <c r="F297" s="80"/>
      <c r="G297" s="238"/>
      <c r="H297" s="236">
        <f>SUM(H296)</f>
        <v>0</v>
      </c>
      <c r="I297" s="236">
        <f>SUM(I296)</f>
        <v>0</v>
      </c>
      <c r="J297" s="236">
        <f>H297+I297</f>
        <v>0</v>
      </c>
      <c r="K297" s="236"/>
      <c r="L297" s="236"/>
      <c r="M297" s="80"/>
      <c r="N297" s="183"/>
      <c r="O297" s="183"/>
      <c r="P297" s="80"/>
      <c r="Q297" s="156"/>
      <c r="R297" s="157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 spans="1:18">
      <c r="A298" s="239"/>
      <c r="B298" s="240"/>
      <c r="C298" s="241"/>
      <c r="D298" s="85"/>
      <c r="E298" s="85"/>
      <c r="F298" s="242"/>
      <c r="G298" s="243"/>
      <c r="H298" s="243"/>
      <c r="I298" s="243"/>
      <c r="J298" s="243"/>
      <c r="K298" s="243"/>
      <c r="L298" s="243"/>
      <c r="M298" s="250"/>
      <c r="N298" s="241"/>
      <c r="O298" s="241"/>
      <c r="P298" s="268"/>
      <c r="Q298" s="278"/>
      <c r="R298" s="279"/>
    </row>
    <row r="299" s="36" customFormat="1" spans="1:28">
      <c r="A299" s="61">
        <v>4</v>
      </c>
      <c r="B299" s="244" t="s">
        <v>587</v>
      </c>
      <c r="C299" s="122"/>
      <c r="D299" s="93"/>
      <c r="E299" s="93"/>
      <c r="F299" s="122"/>
      <c r="G299" s="122"/>
      <c r="H299" s="122"/>
      <c r="I299" s="122"/>
      <c r="J299" s="122"/>
      <c r="K299" s="122"/>
      <c r="L299" s="122"/>
      <c r="M299" s="269"/>
      <c r="N299" s="122"/>
      <c r="O299" s="122"/>
      <c r="P299" s="269"/>
      <c r="Q299" s="278"/>
      <c r="R299" s="279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 spans="1:18">
      <c r="A300" s="144" t="s">
        <v>39</v>
      </c>
      <c r="B300" s="245" t="s">
        <v>588</v>
      </c>
      <c r="C300" s="68" t="s">
        <v>30</v>
      </c>
      <c r="D300" s="69"/>
      <c r="E300" s="70">
        <v>1</v>
      </c>
      <c r="F300" s="246"/>
      <c r="G300" s="71"/>
      <c r="H300" s="204">
        <f>D300*F300</f>
        <v>0</v>
      </c>
      <c r="I300" s="270">
        <f>E300*G300</f>
        <v>0</v>
      </c>
      <c r="J300" s="270"/>
      <c r="K300" s="69">
        <f>D300+E300</f>
        <v>1</v>
      </c>
      <c r="L300" s="123">
        <f>F300+G300</f>
        <v>0</v>
      </c>
      <c r="M300" s="246"/>
      <c r="N300" s="135">
        <v>500001853</v>
      </c>
      <c r="O300" s="271" t="s">
        <v>589</v>
      </c>
      <c r="P300" s="96" t="s">
        <v>27</v>
      </c>
      <c r="Q300" s="155"/>
      <c r="R300" s="279"/>
    </row>
    <row r="301" s="37" customFormat="1" spans="1:28">
      <c r="A301" s="165" t="s">
        <v>590</v>
      </c>
      <c r="B301" s="166"/>
      <c r="C301" s="166"/>
      <c r="D301" s="247"/>
      <c r="E301" s="247"/>
      <c r="F301" s="248"/>
      <c r="G301" s="248"/>
      <c r="H301" s="236">
        <f>SUM(H300:H300)</f>
        <v>0</v>
      </c>
      <c r="I301" s="236">
        <f>SUM(I300:I300)</f>
        <v>0</v>
      </c>
      <c r="J301" s="236">
        <f>H301+I301</f>
        <v>0</v>
      </c>
      <c r="K301" s="236"/>
      <c r="L301" s="236"/>
      <c r="M301" s="80"/>
      <c r="N301" s="183"/>
      <c r="O301" s="183"/>
      <c r="P301" s="248"/>
      <c r="Q301" s="154"/>
      <c r="R301" s="280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 spans="1:18">
      <c r="A302" s="239"/>
      <c r="B302" s="240"/>
      <c r="C302" s="241"/>
      <c r="D302" s="249"/>
      <c r="E302" s="249"/>
      <c r="F302" s="250"/>
      <c r="G302" s="250"/>
      <c r="H302" s="250"/>
      <c r="I302" s="250"/>
      <c r="J302" s="250"/>
      <c r="K302" s="250"/>
      <c r="L302" s="250"/>
      <c r="M302" s="250"/>
      <c r="N302" s="241"/>
      <c r="O302" s="241"/>
      <c r="P302" s="268"/>
      <c r="Q302" s="278"/>
      <c r="R302" s="279"/>
    </row>
    <row r="303" s="36" customFormat="1" ht="27.6" spans="1:28">
      <c r="A303" s="61">
        <v>5</v>
      </c>
      <c r="B303" s="251" t="s">
        <v>591</v>
      </c>
      <c r="C303" s="92"/>
      <c r="D303" s="252"/>
      <c r="E303" s="252"/>
      <c r="F303" s="253"/>
      <c r="G303" s="253"/>
      <c r="H303" s="253"/>
      <c r="I303" s="253"/>
      <c r="J303" s="94"/>
      <c r="K303" s="253"/>
      <c r="L303" s="253"/>
      <c r="M303" s="253"/>
      <c r="N303" s="92"/>
      <c r="O303" s="92"/>
      <c r="P303" s="272"/>
      <c r="Q303" s="276"/>
      <c r="R303" s="281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 spans="1:18">
      <c r="A304" s="66" t="s">
        <v>39</v>
      </c>
      <c r="B304" s="237" t="s">
        <v>592</v>
      </c>
      <c r="C304" s="68" t="s">
        <v>30</v>
      </c>
      <c r="D304" s="249"/>
      <c r="E304" s="249"/>
      <c r="F304" s="230"/>
      <c r="G304" s="230"/>
      <c r="H304" s="204">
        <f t="shared" ref="H304:I310" si="39">D304*F304</f>
        <v>0</v>
      </c>
      <c r="I304" s="270">
        <f>E304*G304</f>
        <v>0</v>
      </c>
      <c r="J304" s="96"/>
      <c r="K304" s="69"/>
      <c r="L304" s="230"/>
      <c r="M304" s="230"/>
      <c r="N304" s="68">
        <v>500002109</v>
      </c>
      <c r="O304" s="237" t="s">
        <v>593</v>
      </c>
      <c r="P304" s="273" t="s">
        <v>27</v>
      </c>
      <c r="Q304" s="155"/>
      <c r="R304" s="279"/>
    </row>
    <row r="305" s="37" customFormat="1" spans="1:28">
      <c r="A305" s="165" t="s">
        <v>594</v>
      </c>
      <c r="B305" s="166"/>
      <c r="C305" s="166"/>
      <c r="D305" s="248"/>
      <c r="E305" s="248"/>
      <c r="F305" s="248"/>
      <c r="G305" s="248"/>
      <c r="H305" s="248">
        <f>H304</f>
        <v>0</v>
      </c>
      <c r="I305" s="248">
        <f>I304</f>
        <v>0</v>
      </c>
      <c r="J305" s="236">
        <f>H305+I305</f>
        <v>0</v>
      </c>
      <c r="K305" s="248"/>
      <c r="L305" s="248"/>
      <c r="M305" s="248"/>
      <c r="N305" s="183"/>
      <c r="O305" s="183"/>
      <c r="P305" s="248"/>
      <c r="Q305" s="154"/>
      <c r="R305" s="280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 spans="1:18">
      <c r="A306" s="56"/>
      <c r="B306" s="201"/>
      <c r="C306" s="202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17"/>
      <c r="O306" s="217"/>
      <c r="P306" s="218"/>
      <c r="Q306" s="156"/>
      <c r="R306" s="157"/>
    </row>
    <row r="307" s="36" customFormat="1" spans="1:28">
      <c r="A307" s="61">
        <v>6</v>
      </c>
      <c r="B307" s="254" t="s">
        <v>595</v>
      </c>
      <c r="C307" s="63"/>
      <c r="D307" s="255"/>
      <c r="E307" s="255"/>
      <c r="F307" s="229"/>
      <c r="G307" s="229"/>
      <c r="H307" s="229"/>
      <c r="I307" s="229"/>
      <c r="J307" s="65"/>
      <c r="K307" s="229"/>
      <c r="L307" s="229"/>
      <c r="M307" s="229"/>
      <c r="N307" s="63"/>
      <c r="O307" s="63"/>
      <c r="P307" s="229"/>
      <c r="Q307" s="276"/>
      <c r="R307" s="281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 spans="1:18">
      <c r="A308" s="66" t="s">
        <v>39</v>
      </c>
      <c r="B308" s="237" t="s">
        <v>596</v>
      </c>
      <c r="C308" s="68" t="s">
        <v>123</v>
      </c>
      <c r="D308" s="256"/>
      <c r="E308" s="256"/>
      <c r="F308" s="230"/>
      <c r="G308" s="230"/>
      <c r="H308" s="204">
        <f t="shared" si="39"/>
        <v>0</v>
      </c>
      <c r="I308" s="270">
        <f t="shared" si="39"/>
        <v>0</v>
      </c>
      <c r="J308" s="96"/>
      <c r="K308" s="230"/>
      <c r="L308" s="230"/>
      <c r="M308" s="230"/>
      <c r="N308" s="68">
        <v>500001046</v>
      </c>
      <c r="O308" s="237" t="s">
        <v>597</v>
      </c>
      <c r="P308" s="96" t="s">
        <v>27</v>
      </c>
      <c r="Q308" s="155"/>
      <c r="R308" s="279"/>
    </row>
    <row r="309" spans="1:18">
      <c r="A309" s="66" t="s">
        <v>96</v>
      </c>
      <c r="B309" s="237" t="s">
        <v>598</v>
      </c>
      <c r="C309" s="68" t="s">
        <v>123</v>
      </c>
      <c r="D309" s="256"/>
      <c r="E309" s="256"/>
      <c r="F309" s="230"/>
      <c r="G309" s="230"/>
      <c r="H309" s="204">
        <f t="shared" si="39"/>
        <v>0</v>
      </c>
      <c r="I309" s="270">
        <f t="shared" si="39"/>
        <v>0</v>
      </c>
      <c r="J309" s="96"/>
      <c r="K309" s="230"/>
      <c r="L309" s="230"/>
      <c r="M309" s="230"/>
      <c r="N309" s="68">
        <v>500001047</v>
      </c>
      <c r="O309" s="237" t="s">
        <v>599</v>
      </c>
      <c r="P309" s="96" t="s">
        <v>27</v>
      </c>
      <c r="Q309" s="155"/>
      <c r="R309" s="279"/>
    </row>
    <row r="310" spans="1:18">
      <c r="A310" s="66" t="s">
        <v>127</v>
      </c>
      <c r="B310" s="237" t="s">
        <v>600</v>
      </c>
      <c r="C310" s="68" t="s">
        <v>123</v>
      </c>
      <c r="D310" s="256"/>
      <c r="E310" s="256"/>
      <c r="F310" s="230"/>
      <c r="G310" s="230"/>
      <c r="H310" s="204">
        <f t="shared" si="39"/>
        <v>0</v>
      </c>
      <c r="I310" s="270">
        <f t="shared" si="39"/>
        <v>0</v>
      </c>
      <c r="J310" s="96"/>
      <c r="K310" s="230"/>
      <c r="L310" s="230"/>
      <c r="M310" s="230"/>
      <c r="N310" s="135">
        <v>500002110</v>
      </c>
      <c r="O310" s="237" t="s">
        <v>601</v>
      </c>
      <c r="P310" s="96" t="s">
        <v>27</v>
      </c>
      <c r="Q310" s="155"/>
      <c r="R310" s="279"/>
    </row>
    <row r="311" s="37" customFormat="1" spans="1:28">
      <c r="A311" s="165" t="s">
        <v>602</v>
      </c>
      <c r="B311" s="166"/>
      <c r="C311" s="166"/>
      <c r="D311" s="248"/>
      <c r="E311" s="248"/>
      <c r="F311" s="248"/>
      <c r="G311" s="248"/>
      <c r="H311" s="248">
        <f>SUM(H308:H310)</f>
        <v>0</v>
      </c>
      <c r="I311" s="248">
        <f>SUM(I308:I310)</f>
        <v>0</v>
      </c>
      <c r="J311" s="236">
        <f>H311+I311</f>
        <v>0</v>
      </c>
      <c r="K311" s="248"/>
      <c r="L311" s="248"/>
      <c r="M311" s="248"/>
      <c r="N311" s="183"/>
      <c r="O311" s="183"/>
      <c r="P311" s="248"/>
      <c r="Q311" s="154"/>
      <c r="R311" s="280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 spans="1:18">
      <c r="A312" s="56"/>
      <c r="B312" s="201"/>
      <c r="C312" s="202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17"/>
      <c r="O312" s="217"/>
      <c r="P312" s="218"/>
      <c r="Q312" s="156"/>
      <c r="R312" s="157"/>
    </row>
    <row r="313" s="36" customFormat="1" spans="1:28">
      <c r="A313" s="61">
        <v>7</v>
      </c>
      <c r="B313" s="254" t="s">
        <v>603</v>
      </c>
      <c r="C313" s="63"/>
      <c r="D313" s="255"/>
      <c r="E313" s="255"/>
      <c r="F313" s="229"/>
      <c r="G313" s="229"/>
      <c r="H313" s="229"/>
      <c r="I313" s="229"/>
      <c r="J313" s="65"/>
      <c r="K313" s="229"/>
      <c r="L313" s="229"/>
      <c r="M313" s="229"/>
      <c r="N313" s="63"/>
      <c r="O313" s="63"/>
      <c r="P313" s="229"/>
      <c r="Q313" s="276"/>
      <c r="R313" s="281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 spans="1:18">
      <c r="A314" s="66" t="s">
        <v>39</v>
      </c>
      <c r="B314" s="237" t="s">
        <v>604</v>
      </c>
      <c r="C314" s="68" t="s">
        <v>605</v>
      </c>
      <c r="D314" s="257"/>
      <c r="E314" s="256"/>
      <c r="F314" s="230"/>
      <c r="G314" s="230"/>
      <c r="H314" s="204">
        <f t="shared" ref="H314:I320" si="40">D314*F314</f>
        <v>0</v>
      </c>
      <c r="I314" s="270">
        <f t="shared" si="40"/>
        <v>0</v>
      </c>
      <c r="J314" s="96"/>
      <c r="K314" s="230"/>
      <c r="L314" s="230"/>
      <c r="M314" s="230"/>
      <c r="N314" s="135">
        <v>500002111</v>
      </c>
      <c r="O314" s="136" t="s">
        <v>606</v>
      </c>
      <c r="P314" s="96" t="s">
        <v>27</v>
      </c>
      <c r="Q314" s="155"/>
      <c r="R314" s="279"/>
    </row>
    <row r="315" spans="1:18">
      <c r="A315" s="66" t="s">
        <v>96</v>
      </c>
      <c r="B315" s="237" t="s">
        <v>607</v>
      </c>
      <c r="C315" s="68" t="s">
        <v>605</v>
      </c>
      <c r="D315" s="256"/>
      <c r="E315" s="256"/>
      <c r="F315" s="230"/>
      <c r="G315" s="230"/>
      <c r="H315" s="204">
        <f t="shared" si="40"/>
        <v>0</v>
      </c>
      <c r="I315" s="270">
        <f t="shared" si="40"/>
        <v>0</v>
      </c>
      <c r="J315" s="96"/>
      <c r="K315" s="230"/>
      <c r="L315" s="230"/>
      <c r="M315" s="230"/>
      <c r="N315" s="135">
        <v>500002112</v>
      </c>
      <c r="O315" s="136" t="s">
        <v>608</v>
      </c>
      <c r="P315" s="96" t="s">
        <v>27</v>
      </c>
      <c r="Q315" s="155"/>
      <c r="R315" s="279"/>
    </row>
    <row r="316" s="37" customFormat="1" spans="1:28">
      <c r="A316" s="165" t="s">
        <v>609</v>
      </c>
      <c r="B316" s="166"/>
      <c r="C316" s="166"/>
      <c r="D316" s="248"/>
      <c r="E316" s="248"/>
      <c r="F316" s="248"/>
      <c r="G316" s="248"/>
      <c r="H316" s="248">
        <f>SUM(H314:H315)</f>
        <v>0</v>
      </c>
      <c r="I316" s="248">
        <f>SUM(I314:I315)</f>
        <v>0</v>
      </c>
      <c r="J316" s="236">
        <f>H316+I316</f>
        <v>0</v>
      </c>
      <c r="K316" s="248"/>
      <c r="L316" s="248"/>
      <c r="M316" s="248"/>
      <c r="N316" s="183"/>
      <c r="O316" s="183"/>
      <c r="P316" s="248"/>
      <c r="Q316" s="154"/>
      <c r="R316" s="280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 s="38" customFormat="1" spans="1:18">
      <c r="A317" s="258"/>
      <c r="B317" s="259"/>
      <c r="C317" s="259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74"/>
      <c r="O317" s="275"/>
      <c r="P317" s="260"/>
      <c r="Q317" s="282"/>
      <c r="R317" s="283"/>
    </row>
    <row r="318" s="36" customFormat="1" spans="1:28">
      <c r="A318" s="61">
        <v>8</v>
      </c>
      <c r="B318" s="254" t="s">
        <v>610</v>
      </c>
      <c r="C318" s="63"/>
      <c r="D318" s="261"/>
      <c r="E318" s="261"/>
      <c r="F318" s="63"/>
      <c r="G318" s="63"/>
      <c r="H318" s="63"/>
      <c r="I318" s="63"/>
      <c r="J318" s="122"/>
      <c r="K318" s="63"/>
      <c r="L318" s="63"/>
      <c r="M318" s="63"/>
      <c r="N318" s="63"/>
      <c r="O318" s="61"/>
      <c r="P318" s="63"/>
      <c r="Q318" s="284"/>
      <c r="R318" s="280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 spans="1:18">
      <c r="A319" s="262" t="s">
        <v>39</v>
      </c>
      <c r="B319" s="104" t="s">
        <v>611</v>
      </c>
      <c r="C319" s="262" t="s">
        <v>612</v>
      </c>
      <c r="D319" s="263"/>
      <c r="E319" s="263"/>
      <c r="F319" s="263"/>
      <c r="G319" s="263"/>
      <c r="H319" s="204">
        <f t="shared" si="40"/>
        <v>0</v>
      </c>
      <c r="I319" s="270">
        <f t="shared" si="40"/>
        <v>0</v>
      </c>
      <c r="J319" s="263"/>
      <c r="K319" s="263"/>
      <c r="L319" s="263"/>
      <c r="M319" s="263"/>
      <c r="N319" s="135">
        <v>500002086</v>
      </c>
      <c r="O319" s="136" t="s">
        <v>613</v>
      </c>
      <c r="P319" s="96" t="s">
        <v>27</v>
      </c>
      <c r="Q319" s="155"/>
      <c r="R319" s="285"/>
    </row>
    <row r="320" spans="1:18">
      <c r="A320" s="66" t="s">
        <v>96</v>
      </c>
      <c r="B320" s="125" t="s">
        <v>614</v>
      </c>
      <c r="C320" s="66" t="s">
        <v>615</v>
      </c>
      <c r="D320" s="263"/>
      <c r="E320" s="263"/>
      <c r="F320" s="263"/>
      <c r="G320" s="263"/>
      <c r="H320" s="204">
        <f t="shared" si="40"/>
        <v>0</v>
      </c>
      <c r="I320" s="270">
        <f t="shared" si="40"/>
        <v>0</v>
      </c>
      <c r="J320" s="263"/>
      <c r="K320" s="263"/>
      <c r="L320" s="263"/>
      <c r="M320" s="263"/>
      <c r="N320" s="135">
        <v>500002087</v>
      </c>
      <c r="O320" s="136" t="s">
        <v>616</v>
      </c>
      <c r="P320" s="96" t="s">
        <v>27</v>
      </c>
      <c r="Q320" s="286"/>
      <c r="R320" s="287"/>
    </row>
    <row r="321" s="37" customFormat="1" spans="1:28">
      <c r="A321" s="165" t="s">
        <v>617</v>
      </c>
      <c r="B321" s="166"/>
      <c r="C321" s="166"/>
      <c r="D321" s="248"/>
      <c r="E321" s="248"/>
      <c r="F321" s="248"/>
      <c r="G321" s="248"/>
      <c r="H321" s="248">
        <f>SUM(H319:H320)</f>
        <v>0</v>
      </c>
      <c r="I321" s="248">
        <f>SUM(I319:I320)</f>
        <v>0</v>
      </c>
      <c r="J321" s="236">
        <f>H321+I321</f>
        <v>0</v>
      </c>
      <c r="K321" s="248"/>
      <c r="L321" s="248"/>
      <c r="M321" s="248"/>
      <c r="N321" s="183"/>
      <c r="O321" s="183"/>
      <c r="P321" s="248"/>
      <c r="Q321" s="154"/>
      <c r="R321" s="280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 spans="1:18">
      <c r="A322" s="167"/>
      <c r="B322" s="202"/>
      <c r="C322" s="202"/>
      <c r="D322" s="288"/>
      <c r="E322" s="288"/>
      <c r="F322" s="242"/>
      <c r="G322" s="242"/>
      <c r="H322" s="242"/>
      <c r="I322" s="242"/>
      <c r="J322" s="242"/>
      <c r="K322" s="242"/>
      <c r="L322" s="242"/>
      <c r="M322" s="242"/>
      <c r="N322" s="185"/>
      <c r="O322" s="185"/>
      <c r="P322" s="301"/>
      <c r="Q322" s="278"/>
      <c r="R322" s="279"/>
    </row>
    <row r="323" spans="1:18">
      <c r="A323" s="289" t="s">
        <v>618</v>
      </c>
      <c r="B323" s="290"/>
      <c r="C323" s="291"/>
      <c r="D323" s="87"/>
      <c r="E323" s="87"/>
      <c r="F323" s="87"/>
      <c r="G323" s="87"/>
      <c r="H323" s="292">
        <f>H10+H105+H206+H242+H281+H288+H293+H297+H301+H305+H311+H316+H321</f>
        <v>0</v>
      </c>
      <c r="I323" s="292">
        <f>I10+I105+I206+I242+I281+I288+I293+I297+I301+I305+I311+I316+I321</f>
        <v>0</v>
      </c>
      <c r="J323" s="292"/>
      <c r="K323" s="292"/>
      <c r="L323" s="292"/>
      <c r="M323" s="87"/>
      <c r="N323" s="56"/>
      <c r="O323" s="56"/>
      <c r="P323" s="87"/>
      <c r="Q323" s="156"/>
      <c r="R323" s="157"/>
    </row>
    <row r="324" spans="1:18">
      <c r="A324" s="289" t="s">
        <v>619</v>
      </c>
      <c r="B324" s="293"/>
      <c r="C324" s="291"/>
      <c r="D324" s="256"/>
      <c r="E324" s="256"/>
      <c r="F324" s="230"/>
      <c r="G324" s="230"/>
      <c r="H324" s="294">
        <f>H323+I323</f>
        <v>0</v>
      </c>
      <c r="I324" s="230"/>
      <c r="J324" s="96"/>
      <c r="K324" s="230"/>
      <c r="L324" s="230"/>
      <c r="M324" s="230"/>
      <c r="N324" s="291"/>
      <c r="O324" s="291"/>
      <c r="P324" s="230"/>
      <c r="Q324" s="276"/>
      <c r="R324" s="147"/>
    </row>
    <row r="325" spans="1:18">
      <c r="A325" s="201" t="s">
        <v>620</v>
      </c>
      <c r="B325" s="293"/>
      <c r="C325" s="291"/>
      <c r="D325" s="256"/>
      <c r="E325" s="256"/>
      <c r="F325" s="230"/>
      <c r="G325" s="230"/>
      <c r="H325" s="295" t="e">
        <f>H324/O5</f>
        <v>#DIV/0!</v>
      </c>
      <c r="I325" s="230"/>
      <c r="J325" s="96"/>
      <c r="K325" s="230"/>
      <c r="L325" s="230"/>
      <c r="M325" s="230"/>
      <c r="N325" s="291"/>
      <c r="O325" s="291"/>
      <c r="P325" s="230"/>
      <c r="Q325" s="276"/>
      <c r="R325" s="147"/>
    </row>
    <row r="326" spans="1:18">
      <c r="A326" s="201" t="s">
        <v>621</v>
      </c>
      <c r="B326" s="293"/>
      <c r="C326" s="291"/>
      <c r="D326" s="256"/>
      <c r="E326" s="256"/>
      <c r="F326" s="230"/>
      <c r="G326" s="230"/>
      <c r="H326" s="296" t="e">
        <f>H325/14000</f>
        <v>#DIV/0!</v>
      </c>
      <c r="I326" s="230"/>
      <c r="J326" s="96"/>
      <c r="K326" s="230"/>
      <c r="L326" s="230"/>
      <c r="M326" s="230"/>
      <c r="N326" s="291"/>
      <c r="O326" s="291"/>
      <c r="P326" s="230"/>
      <c r="Q326" s="276"/>
      <c r="R326" s="147"/>
    </row>
    <row r="328" spans="2:15">
      <c r="B328" s="297" t="s">
        <v>622</v>
      </c>
      <c r="N328" s="302" t="s">
        <v>623</v>
      </c>
      <c r="O328" s="303"/>
    </row>
    <row r="329" spans="2:2">
      <c r="B329" s="298"/>
    </row>
    <row r="330" spans="2:14">
      <c r="B330" s="299" t="s">
        <v>624</v>
      </c>
      <c r="N330" s="40" t="s">
        <v>625</v>
      </c>
    </row>
    <row r="331" spans="2:14">
      <c r="B331" s="299" t="s">
        <v>626</v>
      </c>
      <c r="N331" s="40" t="s">
        <v>626</v>
      </c>
    </row>
    <row r="332" spans="2:14">
      <c r="B332" s="299" t="s">
        <v>627</v>
      </c>
      <c r="N332" s="40" t="s">
        <v>628</v>
      </c>
    </row>
    <row r="333" spans="2:14">
      <c r="B333" s="299" t="s">
        <v>629</v>
      </c>
      <c r="N333" s="40" t="s">
        <v>629</v>
      </c>
    </row>
    <row r="334" spans="1:28">
      <c r="A334" s="40"/>
      <c r="B334" s="39"/>
      <c r="D334" s="40"/>
      <c r="E334" s="40"/>
      <c r="J334" s="40"/>
      <c r="K334" s="40"/>
      <c r="L334" s="40"/>
      <c r="N334" s="42"/>
      <c r="O334" s="42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spans="1:28">
      <c r="A335" s="40"/>
      <c r="B335" s="39"/>
      <c r="D335" s="40"/>
      <c r="E335" s="40"/>
      <c r="J335" s="40"/>
      <c r="K335" s="40"/>
      <c r="L335" s="40"/>
      <c r="N335" s="42"/>
      <c r="O335" s="42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spans="2:15">
      <c r="B336" s="39"/>
      <c r="N336" s="42"/>
      <c r="O336" s="42"/>
    </row>
    <row r="337" ht="13.5" customHeight="1" spans="2:15">
      <c r="B337" s="39"/>
      <c r="N337" s="42"/>
      <c r="O337" s="42"/>
    </row>
    <row r="338" spans="2:14">
      <c r="B338" s="40" t="s">
        <v>630</v>
      </c>
      <c r="N338" s="40" t="s">
        <v>630</v>
      </c>
    </row>
    <row r="339" spans="2:15">
      <c r="B339" s="300"/>
      <c r="O339" s="308"/>
    </row>
  </sheetData>
  <mergeCells count="2">
    <mergeCell ref="B334:B337"/>
    <mergeCell ref="N334:O337"/>
  </mergeCells>
  <conditionalFormatting sqref="N84">
    <cfRule type="duplicateValues" dxfId="0" priority="20"/>
  </conditionalFormatting>
  <conditionalFormatting sqref="N90">
    <cfRule type="duplicateValues" dxfId="0" priority="4"/>
  </conditionalFormatting>
  <conditionalFormatting sqref="N93">
    <cfRule type="duplicateValues" dxfId="0" priority="6"/>
  </conditionalFormatting>
  <conditionalFormatting sqref="M204">
    <cfRule type="duplicateValues" dxfId="0" priority="16"/>
  </conditionalFormatting>
  <conditionalFormatting sqref="N218">
    <cfRule type="duplicateValues" dxfId="0" priority="18"/>
  </conditionalFormatting>
  <conditionalFormatting sqref="M218:M220">
    <cfRule type="duplicateValues" dxfId="0" priority="19"/>
  </conditionalFormatting>
  <conditionalFormatting sqref="N8:N9">
    <cfRule type="duplicateValues" dxfId="0" priority="5"/>
  </conditionalFormatting>
  <conditionalFormatting sqref="N54:N55">
    <cfRule type="duplicateValues" dxfId="0" priority="3"/>
  </conditionalFormatting>
  <conditionalFormatting sqref="N67:N72">
    <cfRule type="duplicateValues" dxfId="0" priority="2"/>
  </conditionalFormatting>
  <conditionalFormatting sqref="N83:N84">
    <cfRule type="duplicateValues" dxfId="0" priority="23"/>
  </conditionalFormatting>
  <conditionalFormatting sqref="N85:N89">
    <cfRule type="duplicateValues" dxfId="0" priority="10"/>
  </conditionalFormatting>
  <conditionalFormatting sqref="N119:N120">
    <cfRule type="duplicateValues" dxfId="0" priority="8"/>
  </conditionalFormatting>
  <conditionalFormatting sqref="N121:N132">
    <cfRule type="duplicateValues" dxfId="0" priority="7"/>
  </conditionalFormatting>
  <conditionalFormatting sqref="N215:N216">
    <cfRule type="duplicateValues" dxfId="0" priority="17"/>
  </conditionalFormatting>
  <conditionalFormatting sqref="N219:N220">
    <cfRule type="duplicateValues" dxfId="0" priority="1"/>
  </conditionalFormatting>
  <conditionalFormatting sqref="N240:N241">
    <cfRule type="duplicateValues" dxfId="0" priority="9"/>
  </conditionalFormatting>
  <conditionalFormatting sqref="N10:N11 N140 N94:N118 N91:N92 N211:N213 N142:N143 N160:N209 N133:N134 N136 N145:N158 N138 N13:N53 N221 N223:N239 N65:N66 N242:N320 N56:N63 N73:N84">
    <cfRule type="duplicateValues" dxfId="0" priority="25"/>
  </conditionalFormatting>
  <pageMargins left="0.7" right="0.7" top="0.75" bottom="0.75" header="0.3" footer="0.3"/>
  <pageSetup paperSize="9" scale="3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9"/>
  <sheetViews>
    <sheetView tabSelected="1" workbookViewId="0">
      <pane ySplit="6" topLeftCell="A7" activePane="bottomLeft" state="frozen"/>
      <selection/>
      <selection pane="bottomLeft" activeCell="E17" sqref="E17"/>
    </sheetView>
  </sheetViews>
  <sheetFormatPr defaultColWidth="8.88888888888889" defaultRowHeight="13.8"/>
  <cols>
    <col min="1" max="1" width="7.88888888888889" style="39" customWidth="1"/>
    <col min="2" max="2" width="65.4444444444444" style="40" customWidth="1"/>
    <col min="3" max="3" width="10.4444444444444" style="40" customWidth="1"/>
    <col min="4" max="4" width="13.8888888888889" style="41" customWidth="1"/>
    <col min="5" max="5" width="13.3333333333333" style="41" customWidth="1"/>
    <col min="6" max="6" width="15.5555555555556" style="40" hidden="1" customWidth="1"/>
    <col min="7" max="7" width="15.1111111111111" style="40" hidden="1" customWidth="1"/>
    <col min="8" max="8" width="21.6666666666667" style="40" hidden="1" customWidth="1"/>
    <col min="9" max="9" width="21.1111111111111" style="40" hidden="1" customWidth="1"/>
    <col min="10" max="10" width="19.6666666666667" style="39" hidden="1" customWidth="1"/>
    <col min="11" max="11" width="15.1111111111111" style="42" hidden="1" customWidth="1"/>
    <col min="12" max="12" width="15" style="42" hidden="1" customWidth="1"/>
    <col min="13" max="13" width="23.8888888888889" style="40" hidden="1" customWidth="1"/>
    <col min="14" max="14" width="17.4444444444444" style="40" customWidth="1"/>
    <col min="15" max="15" width="52.4444444444444" style="40" customWidth="1"/>
    <col min="16" max="16" width="11.4444444444444" style="40" customWidth="1"/>
    <col min="17" max="17" width="11.4444444444444" style="43" customWidth="1"/>
    <col min="18" max="18" width="42.5555555555556" style="43" customWidth="1"/>
    <col min="19" max="28" width="8.88888888888889" style="43"/>
    <col min="29" max="16384" width="8.88888888888889" style="40"/>
  </cols>
  <sheetData>
    <row r="1" ht="21" spans="1:18">
      <c r="A1" s="44" t="s">
        <v>3</v>
      </c>
      <c r="B1" s="45"/>
      <c r="C1" s="46"/>
      <c r="D1" s="47"/>
      <c r="E1" s="47"/>
      <c r="F1" s="48"/>
      <c r="G1" s="48"/>
      <c r="H1" s="48"/>
      <c r="I1" s="48"/>
      <c r="J1" s="109"/>
      <c r="K1" s="48"/>
      <c r="L1" s="48"/>
      <c r="M1" s="48"/>
      <c r="N1" s="110" t="s">
        <v>4</v>
      </c>
      <c r="O1" s="111"/>
      <c r="P1" s="111"/>
      <c r="Q1" s="146"/>
      <c r="R1" s="147"/>
    </row>
    <row r="2" spans="1:18">
      <c r="A2" s="49" t="s">
        <v>5</v>
      </c>
      <c r="B2" s="50"/>
      <c r="C2" s="48"/>
      <c r="D2" s="47"/>
      <c r="E2" s="47"/>
      <c r="F2" s="48"/>
      <c r="G2" s="48"/>
      <c r="H2" s="48"/>
      <c r="I2" s="48"/>
      <c r="J2" s="109"/>
      <c r="K2" s="48"/>
      <c r="L2" s="48"/>
      <c r="M2" s="48"/>
      <c r="N2" s="112" t="s">
        <v>6</v>
      </c>
      <c r="O2" s="113" t="s">
        <v>631</v>
      </c>
      <c r="P2" s="114"/>
      <c r="Q2" s="148"/>
      <c r="R2" s="147"/>
    </row>
    <row r="3" spans="1:18">
      <c r="A3" s="49" t="s">
        <v>7</v>
      </c>
      <c r="B3" s="51"/>
      <c r="C3" s="51"/>
      <c r="D3" s="51"/>
      <c r="E3" s="51"/>
      <c r="F3" s="51"/>
      <c r="G3" s="51"/>
      <c r="H3" s="51"/>
      <c r="I3" s="51"/>
      <c r="J3" s="115"/>
      <c r="K3" s="115"/>
      <c r="L3" s="115"/>
      <c r="M3" s="51"/>
      <c r="N3" s="112" t="s">
        <v>8</v>
      </c>
      <c r="O3" s="113" t="s">
        <v>631</v>
      </c>
      <c r="P3" s="116"/>
      <c r="Q3" s="149"/>
      <c r="R3" s="150"/>
    </row>
    <row r="4" spans="1:18">
      <c r="A4" s="49" t="s">
        <v>9</v>
      </c>
      <c r="B4" s="52"/>
      <c r="C4" s="52"/>
      <c r="D4" s="53"/>
      <c r="E4" s="54"/>
      <c r="F4" s="54"/>
      <c r="G4" s="54"/>
      <c r="H4" s="54"/>
      <c r="I4" s="54"/>
      <c r="J4" s="54"/>
      <c r="K4" s="54"/>
      <c r="L4" s="54"/>
      <c r="M4" s="54"/>
      <c r="N4" s="112" t="s">
        <v>10</v>
      </c>
      <c r="O4" s="117" t="s">
        <v>11</v>
      </c>
      <c r="P4" s="118"/>
      <c r="Q4" s="151"/>
      <c r="R4" s="152"/>
    </row>
    <row r="5" spans="1:18">
      <c r="A5" s="55"/>
      <c r="B5" s="47"/>
      <c r="C5" s="47"/>
      <c r="D5" s="47"/>
      <c r="E5" s="47"/>
      <c r="F5" s="48"/>
      <c r="G5" s="48"/>
      <c r="H5" s="48"/>
      <c r="I5" s="48"/>
      <c r="J5" s="109"/>
      <c r="K5" s="48"/>
      <c r="L5" s="48"/>
      <c r="M5" s="48"/>
      <c r="N5" s="119" t="s">
        <v>12</v>
      </c>
      <c r="O5" s="113" t="s">
        <v>631</v>
      </c>
      <c r="P5" s="120"/>
      <c r="Q5" s="153"/>
      <c r="R5" s="147"/>
    </row>
    <row r="6" spans="1:18">
      <c r="A6" s="56" t="s">
        <v>13</v>
      </c>
      <c r="B6" s="57" t="s">
        <v>14</v>
      </c>
      <c r="C6" s="58" t="s">
        <v>15</v>
      </c>
      <c r="D6" s="59" t="s">
        <v>16</v>
      </c>
      <c r="E6" s="60" t="s">
        <v>17</v>
      </c>
      <c r="F6" s="60" t="s">
        <v>18</v>
      </c>
      <c r="G6" s="60" t="s">
        <v>19</v>
      </c>
      <c r="H6" s="60" t="s">
        <v>20</v>
      </c>
      <c r="I6" s="60" t="s">
        <v>21</v>
      </c>
      <c r="J6" s="60" t="s">
        <v>22</v>
      </c>
      <c r="K6" s="60"/>
      <c r="L6" s="60"/>
      <c r="M6" s="60" t="s">
        <v>23</v>
      </c>
      <c r="N6" s="121" t="s">
        <v>24</v>
      </c>
      <c r="O6" s="121" t="s">
        <v>25</v>
      </c>
      <c r="P6" s="59" t="s">
        <v>26</v>
      </c>
      <c r="Q6" s="154" t="s">
        <v>27</v>
      </c>
      <c r="R6" s="147"/>
    </row>
    <row r="7" s="36" customFormat="1" spans="1:28">
      <c r="A7" s="61">
        <v>1</v>
      </c>
      <c r="B7" s="62" t="s">
        <v>28</v>
      </c>
      <c r="C7" s="63"/>
      <c r="D7" s="64"/>
      <c r="E7" s="64"/>
      <c r="F7" s="65"/>
      <c r="G7" s="65"/>
      <c r="H7" s="65"/>
      <c r="I7" s="65"/>
      <c r="J7" s="65"/>
      <c r="K7" s="65"/>
      <c r="L7" s="65"/>
      <c r="M7" s="65"/>
      <c r="N7" s="122"/>
      <c r="O7" s="122"/>
      <c r="P7" s="65"/>
      <c r="Q7" s="155"/>
      <c r="R7" s="147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 spans="1:18">
      <c r="A8" s="66">
        <v>1.1</v>
      </c>
      <c r="B8" s="67" t="s">
        <v>632</v>
      </c>
      <c r="C8" s="68" t="s">
        <v>30</v>
      </c>
      <c r="D8" s="69"/>
      <c r="E8" s="70">
        <v>1</v>
      </c>
      <c r="F8" s="71"/>
      <c r="G8" s="72"/>
      <c r="H8" s="73" t="e">
        <f>#REF!*F8</f>
        <v>#REF!</v>
      </c>
      <c r="I8" s="73"/>
      <c r="J8" s="73"/>
      <c r="K8" s="69" t="e">
        <f>#REF!+D8</f>
        <v>#REF!</v>
      </c>
      <c r="L8" s="123">
        <f>F8+G8</f>
        <v>0</v>
      </c>
      <c r="M8" s="96"/>
      <c r="N8" s="124">
        <v>500003800</v>
      </c>
      <c r="O8" s="125" t="s">
        <v>633</v>
      </c>
      <c r="P8" s="96" t="s">
        <v>32</v>
      </c>
      <c r="Q8" s="155" t="s">
        <v>33</v>
      </c>
      <c r="R8" s="147"/>
    </row>
    <row r="9" spans="1:18">
      <c r="A9" s="66">
        <v>1.2</v>
      </c>
      <c r="B9" s="67" t="s">
        <v>34</v>
      </c>
      <c r="C9" s="68" t="s">
        <v>30</v>
      </c>
      <c r="D9" s="69"/>
      <c r="E9" s="70">
        <v>1</v>
      </c>
      <c r="F9" s="71"/>
      <c r="G9" s="72"/>
      <c r="H9" s="73">
        <f>D9*F9</f>
        <v>0</v>
      </c>
      <c r="I9" s="73"/>
      <c r="J9" s="73"/>
      <c r="K9" s="69">
        <f>D9+E9</f>
        <v>1</v>
      </c>
      <c r="L9" s="123">
        <f>F9+G9</f>
        <v>0</v>
      </c>
      <c r="M9" s="96"/>
      <c r="N9" s="124">
        <v>500003890</v>
      </c>
      <c r="O9" s="125" t="s">
        <v>35</v>
      </c>
      <c r="P9" s="96" t="s">
        <v>32</v>
      </c>
      <c r="Q9" s="155" t="s">
        <v>33</v>
      </c>
      <c r="R9" s="147"/>
    </row>
    <row r="10" s="37" customFormat="1" spans="1:28">
      <c r="A10" s="74" t="s">
        <v>36</v>
      </c>
      <c r="B10" s="75"/>
      <c r="C10" s="76"/>
      <c r="D10" s="77"/>
      <c r="E10" s="78"/>
      <c r="F10" s="79"/>
      <c r="G10" s="79"/>
      <c r="H10" s="80" t="e">
        <f>SUM(H8:H8)</f>
        <v>#REF!</v>
      </c>
      <c r="I10" s="126">
        <f>SUM(I8:I8)</f>
        <v>0</v>
      </c>
      <c r="J10" s="127" t="e">
        <f>H10+I10</f>
        <v>#REF!</v>
      </c>
      <c r="K10" s="127"/>
      <c r="L10" s="127"/>
      <c r="M10" s="127"/>
      <c r="N10" s="75"/>
      <c r="O10" s="75"/>
      <c r="P10" s="127"/>
      <c r="Q10" s="156"/>
      <c r="R10" s="157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spans="1:18">
      <c r="A11" s="81"/>
      <c r="B11" s="82"/>
      <c r="C11" s="83"/>
      <c r="D11" s="84"/>
      <c r="E11" s="85"/>
      <c r="F11" s="86"/>
      <c r="G11" s="86"/>
      <c r="H11" s="87"/>
      <c r="I11" s="128"/>
      <c r="J11" s="128"/>
      <c r="K11" s="128"/>
      <c r="L11" s="128"/>
      <c r="M11" s="128"/>
      <c r="N11" s="129"/>
      <c r="O11" s="129"/>
      <c r="P11" s="60"/>
      <c r="Q11" s="156"/>
      <c r="R11" s="147"/>
    </row>
    <row r="12" ht="27.6" spans="1:18">
      <c r="A12" s="56">
        <v>2</v>
      </c>
      <c r="B12" s="88" t="s">
        <v>37</v>
      </c>
      <c r="C12" s="89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130"/>
      <c r="Q12" s="158"/>
      <c r="R12" s="147"/>
    </row>
    <row r="13" s="36" customFormat="1" spans="1:28">
      <c r="A13" s="61">
        <v>2.1</v>
      </c>
      <c r="B13" s="91" t="s">
        <v>38</v>
      </c>
      <c r="C13" s="92"/>
      <c r="D13" s="93"/>
      <c r="E13" s="93"/>
      <c r="F13" s="94"/>
      <c r="G13" s="94"/>
      <c r="H13" s="94"/>
      <c r="I13" s="94"/>
      <c r="J13" s="94"/>
      <c r="K13" s="94"/>
      <c r="L13" s="94"/>
      <c r="M13" s="94"/>
      <c r="N13" s="131"/>
      <c r="O13" s="131"/>
      <c r="P13" s="65"/>
      <c r="Q13" s="155"/>
      <c r="R13" s="147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ht="12" customHeight="1" spans="1:18">
      <c r="A14" s="66" t="s">
        <v>39</v>
      </c>
      <c r="B14" s="95" t="s">
        <v>40</v>
      </c>
      <c r="C14" s="68"/>
      <c r="D14" s="69"/>
      <c r="E14" s="69"/>
      <c r="F14" s="86"/>
      <c r="G14" s="86"/>
      <c r="H14" s="96"/>
      <c r="I14" s="132"/>
      <c r="J14" s="132"/>
      <c r="K14" s="132"/>
      <c r="L14" s="132"/>
      <c r="M14" s="96"/>
      <c r="N14" s="66"/>
      <c r="O14" s="66"/>
      <c r="P14" s="96"/>
      <c r="Q14" s="155"/>
      <c r="R14" s="147"/>
    </row>
    <row r="15" ht="12" customHeight="1" spans="1:18">
      <c r="A15" s="66"/>
      <c r="B15" s="95" t="s">
        <v>41</v>
      </c>
      <c r="C15" s="68" t="s">
        <v>42</v>
      </c>
      <c r="D15" s="70">
        <f>E16</f>
        <v>0</v>
      </c>
      <c r="E15" s="69"/>
      <c r="F15" s="71"/>
      <c r="G15" s="97"/>
      <c r="H15" s="69">
        <f t="shared" ref="H15:I20" si="0">D15*F15</f>
        <v>0</v>
      </c>
      <c r="I15" s="69">
        <f t="shared" si="0"/>
        <v>0</v>
      </c>
      <c r="J15" s="69"/>
      <c r="K15" s="69">
        <f t="shared" ref="K15:K20" si="1">D15+E15</f>
        <v>0</v>
      </c>
      <c r="L15" s="69">
        <f t="shared" ref="L15:L20" si="2">F15+G15</f>
        <v>0</v>
      </c>
      <c r="M15" s="133"/>
      <c r="N15" s="66">
        <v>200000100</v>
      </c>
      <c r="O15" s="134" t="s">
        <v>43</v>
      </c>
      <c r="P15" s="96" t="s">
        <v>32</v>
      </c>
      <c r="Q15" s="155" t="s">
        <v>44</v>
      </c>
      <c r="R15" s="147"/>
    </row>
    <row r="16" ht="12" customHeight="1" spans="1:18">
      <c r="A16" s="66"/>
      <c r="B16" s="95" t="s">
        <v>45</v>
      </c>
      <c r="C16" s="68" t="s">
        <v>42</v>
      </c>
      <c r="D16" s="69"/>
      <c r="E16" s="70">
        <f>SUM('BoM AE'!O9)</f>
        <v>0</v>
      </c>
      <c r="F16" s="97"/>
      <c r="G16" s="71"/>
      <c r="H16" s="69">
        <f t="shared" si="0"/>
        <v>0</v>
      </c>
      <c r="I16" s="69">
        <f t="shared" si="0"/>
        <v>0</v>
      </c>
      <c r="J16" s="69"/>
      <c r="K16" s="69">
        <f t="shared" si="1"/>
        <v>0</v>
      </c>
      <c r="L16" s="69">
        <f t="shared" si="2"/>
        <v>0</v>
      </c>
      <c r="M16" s="133"/>
      <c r="N16" s="135">
        <v>500002050</v>
      </c>
      <c r="O16" s="134" t="s">
        <v>46</v>
      </c>
      <c r="P16" s="96" t="s">
        <v>27</v>
      </c>
      <c r="Q16" s="155" t="s">
        <v>33</v>
      </c>
      <c r="R16" s="147"/>
    </row>
    <row r="17" ht="12" customHeight="1" spans="1:18">
      <c r="A17" s="66"/>
      <c r="B17" s="95" t="s">
        <v>47</v>
      </c>
      <c r="C17" s="68" t="s">
        <v>42</v>
      </c>
      <c r="D17" s="69">
        <f>E18</f>
        <v>0</v>
      </c>
      <c r="E17" s="69"/>
      <c r="F17" s="97"/>
      <c r="G17" s="97"/>
      <c r="H17" s="69">
        <f t="shared" si="0"/>
        <v>0</v>
      </c>
      <c r="I17" s="69">
        <f t="shared" si="0"/>
        <v>0</v>
      </c>
      <c r="J17" s="69"/>
      <c r="K17" s="69">
        <f t="shared" si="1"/>
        <v>0</v>
      </c>
      <c r="L17" s="69">
        <f t="shared" si="2"/>
        <v>0</v>
      </c>
      <c r="M17" s="133"/>
      <c r="N17" s="66">
        <v>200000975</v>
      </c>
      <c r="O17" s="136" t="s">
        <v>48</v>
      </c>
      <c r="P17" s="96" t="s">
        <v>32</v>
      </c>
      <c r="Q17" s="155" t="s">
        <v>44</v>
      </c>
      <c r="R17" s="147"/>
    </row>
    <row r="18" ht="12" customHeight="1" spans="1:18">
      <c r="A18" s="66"/>
      <c r="B18" s="95" t="s">
        <v>49</v>
      </c>
      <c r="C18" s="68" t="s">
        <v>42</v>
      </c>
      <c r="D18" s="69"/>
      <c r="E18" s="69">
        <f>SUM('BoM AE'!O10)</f>
        <v>0</v>
      </c>
      <c r="F18" s="97"/>
      <c r="G18" s="97"/>
      <c r="H18" s="69">
        <f t="shared" si="0"/>
        <v>0</v>
      </c>
      <c r="I18" s="69">
        <f t="shared" si="0"/>
        <v>0</v>
      </c>
      <c r="J18" s="69"/>
      <c r="K18" s="69">
        <f t="shared" si="1"/>
        <v>0</v>
      </c>
      <c r="L18" s="69">
        <f t="shared" si="2"/>
        <v>0</v>
      </c>
      <c r="M18" s="133"/>
      <c r="N18" s="135">
        <v>500002051</v>
      </c>
      <c r="O18" s="136" t="s">
        <v>50</v>
      </c>
      <c r="P18" s="96" t="s">
        <v>27</v>
      </c>
      <c r="Q18" s="155" t="s">
        <v>33</v>
      </c>
      <c r="R18" s="147"/>
    </row>
    <row r="19" ht="12" customHeight="1" spans="1:18">
      <c r="A19" s="66"/>
      <c r="B19" s="95" t="s">
        <v>51</v>
      </c>
      <c r="C19" s="68" t="s">
        <v>42</v>
      </c>
      <c r="D19" s="98">
        <f>E20</f>
        <v>0</v>
      </c>
      <c r="E19" s="69"/>
      <c r="F19" s="71"/>
      <c r="G19" s="97"/>
      <c r="H19" s="69">
        <f t="shared" si="0"/>
        <v>0</v>
      </c>
      <c r="I19" s="69">
        <f t="shared" si="0"/>
        <v>0</v>
      </c>
      <c r="J19" s="69"/>
      <c r="K19" s="69">
        <f t="shared" si="1"/>
        <v>0</v>
      </c>
      <c r="L19" s="69">
        <f t="shared" si="2"/>
        <v>0</v>
      </c>
      <c r="M19" s="133"/>
      <c r="N19" s="135">
        <v>200001038</v>
      </c>
      <c r="O19" s="136" t="s">
        <v>52</v>
      </c>
      <c r="P19" s="96" t="s">
        <v>32</v>
      </c>
      <c r="Q19" s="155" t="s">
        <v>44</v>
      </c>
      <c r="R19" s="147"/>
    </row>
    <row r="20" ht="12" customHeight="1" spans="1:18">
      <c r="A20" s="66"/>
      <c r="B20" s="95" t="s">
        <v>53</v>
      </c>
      <c r="C20" s="68" t="s">
        <v>42</v>
      </c>
      <c r="D20" s="69"/>
      <c r="E20" s="98">
        <f>SUM('BoM AE'!O11)</f>
        <v>0</v>
      </c>
      <c r="F20" s="97"/>
      <c r="G20" s="71"/>
      <c r="H20" s="69">
        <f t="shared" si="0"/>
        <v>0</v>
      </c>
      <c r="I20" s="69">
        <f t="shared" si="0"/>
        <v>0</v>
      </c>
      <c r="J20" s="69"/>
      <c r="K20" s="69">
        <f t="shared" si="1"/>
        <v>0</v>
      </c>
      <c r="L20" s="69">
        <f t="shared" si="2"/>
        <v>0</v>
      </c>
      <c r="M20" s="133"/>
      <c r="N20" s="135">
        <v>500002052</v>
      </c>
      <c r="O20" s="136" t="s">
        <v>54</v>
      </c>
      <c r="P20" s="96" t="s">
        <v>27</v>
      </c>
      <c r="Q20" s="155" t="s">
        <v>33</v>
      </c>
      <c r="R20" s="147"/>
    </row>
    <row r="21" ht="12" customHeight="1" spans="1:18">
      <c r="A21" s="66"/>
      <c r="B21" s="95" t="s">
        <v>55</v>
      </c>
      <c r="C21" s="68" t="s">
        <v>42</v>
      </c>
      <c r="D21" s="69">
        <f>E22</f>
        <v>0</v>
      </c>
      <c r="E21" s="69"/>
      <c r="F21" s="97"/>
      <c r="G21" s="71"/>
      <c r="H21" s="69"/>
      <c r="I21" s="69"/>
      <c r="J21" s="69"/>
      <c r="K21" s="69"/>
      <c r="L21" s="69"/>
      <c r="M21" s="133"/>
      <c r="N21" s="135">
        <v>200001970</v>
      </c>
      <c r="O21" s="136" t="s">
        <v>56</v>
      </c>
      <c r="P21" s="96" t="s">
        <v>32</v>
      </c>
      <c r="Q21" s="155" t="s">
        <v>44</v>
      </c>
      <c r="R21" s="147"/>
    </row>
    <row r="22" ht="12" customHeight="1" spans="1:18">
      <c r="A22" s="66"/>
      <c r="B22" s="95" t="s">
        <v>57</v>
      </c>
      <c r="C22" s="68" t="s">
        <v>42</v>
      </c>
      <c r="D22" s="69"/>
      <c r="E22" s="69">
        <f>SUM('BoM AE'!O12)</f>
        <v>0</v>
      </c>
      <c r="F22" s="97"/>
      <c r="G22" s="71"/>
      <c r="H22" s="69"/>
      <c r="I22" s="69"/>
      <c r="J22" s="69"/>
      <c r="K22" s="69"/>
      <c r="L22" s="69"/>
      <c r="M22" s="133"/>
      <c r="N22" s="135">
        <v>500003410</v>
      </c>
      <c r="O22" s="136" t="s">
        <v>58</v>
      </c>
      <c r="P22" s="96" t="s">
        <v>27</v>
      </c>
      <c r="Q22" s="155" t="s">
        <v>33</v>
      </c>
      <c r="R22" s="147"/>
    </row>
    <row r="23" ht="12" customHeight="1" spans="1:18">
      <c r="A23" s="66"/>
      <c r="B23" s="95" t="s">
        <v>59</v>
      </c>
      <c r="C23" s="68" t="s">
        <v>42</v>
      </c>
      <c r="D23" s="98">
        <f t="shared" ref="D23:D27" si="3">E24</f>
        <v>0</v>
      </c>
      <c r="E23" s="69"/>
      <c r="F23" s="97"/>
      <c r="G23" s="71"/>
      <c r="H23" s="69"/>
      <c r="I23" s="69"/>
      <c r="J23" s="69"/>
      <c r="K23" s="69"/>
      <c r="L23" s="69"/>
      <c r="M23" s="133"/>
      <c r="N23" s="135">
        <v>200001630</v>
      </c>
      <c r="O23" s="136" t="s">
        <v>60</v>
      </c>
      <c r="P23" s="96" t="s">
        <v>32</v>
      </c>
      <c r="Q23" s="155" t="s">
        <v>44</v>
      </c>
      <c r="R23" s="147"/>
    </row>
    <row r="24" ht="12" customHeight="1" spans="1:18">
      <c r="A24" s="66"/>
      <c r="B24" s="95" t="s">
        <v>61</v>
      </c>
      <c r="C24" s="68" t="s">
        <v>42</v>
      </c>
      <c r="D24" s="69"/>
      <c r="E24" s="98">
        <f>SUM('BoM AE'!O13)</f>
        <v>0</v>
      </c>
      <c r="F24" s="97"/>
      <c r="G24" s="71"/>
      <c r="H24" s="69"/>
      <c r="I24" s="69"/>
      <c r="J24" s="69"/>
      <c r="K24" s="69"/>
      <c r="L24" s="69"/>
      <c r="M24" s="133"/>
      <c r="N24" s="135">
        <v>500002890</v>
      </c>
      <c r="O24" s="136" t="s">
        <v>62</v>
      </c>
      <c r="P24" s="96" t="s">
        <v>27</v>
      </c>
      <c r="Q24" s="155" t="s">
        <v>33</v>
      </c>
      <c r="R24" s="147"/>
    </row>
    <row r="25" ht="12" customHeight="1" spans="1:18">
      <c r="A25" s="66"/>
      <c r="B25" s="95" t="s">
        <v>63</v>
      </c>
      <c r="C25" s="68" t="s">
        <v>42</v>
      </c>
      <c r="D25" s="98">
        <f t="shared" si="3"/>
        <v>0</v>
      </c>
      <c r="E25" s="69"/>
      <c r="F25" s="97"/>
      <c r="G25" s="97"/>
      <c r="H25" s="69">
        <f t="shared" ref="H25:I67" si="4">D25*F25</f>
        <v>0</v>
      </c>
      <c r="I25" s="69">
        <f t="shared" si="4"/>
        <v>0</v>
      </c>
      <c r="J25" s="69"/>
      <c r="K25" s="69">
        <f t="shared" ref="K25:K78" si="5">D25+E25</f>
        <v>0</v>
      </c>
      <c r="L25" s="69">
        <f t="shared" ref="L25:L78" si="6">F25+G25</f>
        <v>0</v>
      </c>
      <c r="M25" s="133"/>
      <c r="N25" s="135">
        <v>200001030</v>
      </c>
      <c r="O25" s="136" t="s">
        <v>64</v>
      </c>
      <c r="P25" s="96" t="s">
        <v>32</v>
      </c>
      <c r="Q25" s="155" t="s">
        <v>44</v>
      </c>
      <c r="R25" s="147"/>
    </row>
    <row r="26" ht="12" customHeight="1" spans="1:18">
      <c r="A26" s="66"/>
      <c r="B26" s="95" t="s">
        <v>65</v>
      </c>
      <c r="C26" s="68" t="s">
        <v>42</v>
      </c>
      <c r="D26" s="69"/>
      <c r="E26" s="98">
        <f>SUM('BoM AE'!O14)</f>
        <v>0</v>
      </c>
      <c r="F26" s="97"/>
      <c r="G26" s="97"/>
      <c r="H26" s="69">
        <f t="shared" si="4"/>
        <v>0</v>
      </c>
      <c r="I26" s="69">
        <f t="shared" si="4"/>
        <v>0</v>
      </c>
      <c r="J26" s="69"/>
      <c r="K26" s="69">
        <f t="shared" si="5"/>
        <v>0</v>
      </c>
      <c r="L26" s="69">
        <f t="shared" si="6"/>
        <v>0</v>
      </c>
      <c r="M26" s="133"/>
      <c r="N26" s="135" t="s">
        <v>634</v>
      </c>
      <c r="O26" s="136" t="s">
        <v>66</v>
      </c>
      <c r="P26" s="96" t="s">
        <v>27</v>
      </c>
      <c r="Q26" s="155" t="s">
        <v>33</v>
      </c>
      <c r="R26" s="147"/>
    </row>
    <row r="27" ht="12" customHeight="1" spans="1:18">
      <c r="A27" s="66"/>
      <c r="B27" s="95" t="s">
        <v>67</v>
      </c>
      <c r="C27" s="68" t="s">
        <v>42</v>
      </c>
      <c r="D27" s="69">
        <f t="shared" si="3"/>
        <v>0</v>
      </c>
      <c r="E27" s="69"/>
      <c r="F27" s="97"/>
      <c r="G27" s="97"/>
      <c r="H27" s="69">
        <f t="shared" si="4"/>
        <v>0</v>
      </c>
      <c r="I27" s="69">
        <f t="shared" si="4"/>
        <v>0</v>
      </c>
      <c r="J27" s="69"/>
      <c r="K27" s="69">
        <f t="shared" si="5"/>
        <v>0</v>
      </c>
      <c r="L27" s="69">
        <f t="shared" si="6"/>
        <v>0</v>
      </c>
      <c r="M27" s="133"/>
      <c r="N27" s="135">
        <v>200001015</v>
      </c>
      <c r="O27" s="136" t="s">
        <v>68</v>
      </c>
      <c r="P27" s="96" t="s">
        <v>32</v>
      </c>
      <c r="Q27" s="155" t="s">
        <v>44</v>
      </c>
      <c r="R27" s="147"/>
    </row>
    <row r="28" ht="12" customHeight="1" spans="1:18">
      <c r="A28" s="66"/>
      <c r="B28" s="95" t="s">
        <v>69</v>
      </c>
      <c r="C28" s="68" t="s">
        <v>42</v>
      </c>
      <c r="D28" s="69"/>
      <c r="E28" s="69">
        <f>SUM('BoM AE'!O15)</f>
        <v>0</v>
      </c>
      <c r="F28" s="97"/>
      <c r="G28" s="97"/>
      <c r="H28" s="69">
        <f t="shared" si="4"/>
        <v>0</v>
      </c>
      <c r="I28" s="69">
        <f t="shared" si="4"/>
        <v>0</v>
      </c>
      <c r="J28" s="69"/>
      <c r="K28" s="69">
        <f t="shared" si="5"/>
        <v>0</v>
      </c>
      <c r="L28" s="69">
        <f t="shared" si="6"/>
        <v>0</v>
      </c>
      <c r="M28" s="133"/>
      <c r="N28" s="135" t="s">
        <v>635</v>
      </c>
      <c r="O28" s="136" t="s">
        <v>70</v>
      </c>
      <c r="P28" s="96" t="s">
        <v>27</v>
      </c>
      <c r="Q28" s="155" t="s">
        <v>33</v>
      </c>
      <c r="R28" s="147"/>
    </row>
    <row r="29" ht="12" customHeight="1" spans="1:18">
      <c r="A29" s="66"/>
      <c r="B29" s="99" t="s">
        <v>71</v>
      </c>
      <c r="C29" s="100" t="s">
        <v>72</v>
      </c>
      <c r="D29" s="69"/>
      <c r="E29" s="69"/>
      <c r="F29" s="97"/>
      <c r="G29" s="97"/>
      <c r="H29" s="69"/>
      <c r="I29" s="69"/>
      <c r="J29" s="69"/>
      <c r="K29" s="69"/>
      <c r="L29" s="69"/>
      <c r="M29" s="133"/>
      <c r="N29" s="100">
        <v>200002668</v>
      </c>
      <c r="O29" s="137" t="s">
        <v>73</v>
      </c>
      <c r="P29" s="138" t="s">
        <v>32</v>
      </c>
      <c r="Q29" s="155"/>
      <c r="R29" s="147"/>
    </row>
    <row r="30" ht="12" customHeight="1" spans="1:18">
      <c r="A30" s="66"/>
      <c r="B30" s="99" t="s">
        <v>74</v>
      </c>
      <c r="C30" s="100" t="s">
        <v>72</v>
      </c>
      <c r="D30" s="69"/>
      <c r="E30" s="69"/>
      <c r="F30" s="97"/>
      <c r="G30" s="97"/>
      <c r="H30" s="69"/>
      <c r="I30" s="69"/>
      <c r="J30" s="69"/>
      <c r="K30" s="69"/>
      <c r="L30" s="69"/>
      <c r="M30" s="133"/>
      <c r="N30" s="100">
        <v>500004722</v>
      </c>
      <c r="O30" s="137" t="s">
        <v>75</v>
      </c>
      <c r="P30" s="138" t="s">
        <v>27</v>
      </c>
      <c r="Q30" s="155"/>
      <c r="R30" s="147"/>
    </row>
    <row r="31" ht="12" customHeight="1" spans="1:18">
      <c r="A31" s="66"/>
      <c r="B31" s="99" t="s">
        <v>76</v>
      </c>
      <c r="C31" s="100" t="s">
        <v>72</v>
      </c>
      <c r="D31" s="69"/>
      <c r="E31" s="69"/>
      <c r="F31" s="97"/>
      <c r="G31" s="97"/>
      <c r="H31" s="69"/>
      <c r="I31" s="69"/>
      <c r="J31" s="69"/>
      <c r="K31" s="69"/>
      <c r="L31" s="69"/>
      <c r="M31" s="133"/>
      <c r="N31" s="100">
        <v>200002669</v>
      </c>
      <c r="O31" s="137" t="s">
        <v>77</v>
      </c>
      <c r="P31" s="138" t="s">
        <v>32</v>
      </c>
      <c r="Q31" s="155"/>
      <c r="R31" s="147"/>
    </row>
    <row r="32" ht="12" customHeight="1" spans="1:18">
      <c r="A32" s="66"/>
      <c r="B32" s="99" t="s">
        <v>78</v>
      </c>
      <c r="C32" s="100" t="s">
        <v>72</v>
      </c>
      <c r="D32" s="69"/>
      <c r="E32" s="69"/>
      <c r="F32" s="97"/>
      <c r="G32" s="97"/>
      <c r="H32" s="69"/>
      <c r="I32" s="69"/>
      <c r="J32" s="69"/>
      <c r="K32" s="69"/>
      <c r="L32" s="69"/>
      <c r="M32" s="133"/>
      <c r="N32" s="100">
        <v>500004723</v>
      </c>
      <c r="O32" s="137" t="s">
        <v>79</v>
      </c>
      <c r="P32" s="138" t="s">
        <v>27</v>
      </c>
      <c r="Q32" s="155"/>
      <c r="R32" s="147"/>
    </row>
    <row r="33" ht="12" customHeight="1" spans="1:18">
      <c r="A33" s="66"/>
      <c r="B33" s="99" t="s">
        <v>80</v>
      </c>
      <c r="C33" s="100" t="s">
        <v>72</v>
      </c>
      <c r="D33" s="69"/>
      <c r="E33" s="69"/>
      <c r="F33" s="97"/>
      <c r="G33" s="97"/>
      <c r="H33" s="69"/>
      <c r="I33" s="69"/>
      <c r="J33" s="69"/>
      <c r="K33" s="69"/>
      <c r="L33" s="69"/>
      <c r="M33" s="133"/>
      <c r="N33" s="100">
        <v>200002670</v>
      </c>
      <c r="O33" s="137" t="s">
        <v>81</v>
      </c>
      <c r="P33" s="138" t="s">
        <v>32</v>
      </c>
      <c r="Q33" s="155"/>
      <c r="R33" s="147"/>
    </row>
    <row r="34" ht="12" customHeight="1" spans="1:18">
      <c r="A34" s="66"/>
      <c r="B34" s="99" t="s">
        <v>82</v>
      </c>
      <c r="C34" s="100" t="s">
        <v>72</v>
      </c>
      <c r="D34" s="69"/>
      <c r="E34" s="69"/>
      <c r="F34" s="97"/>
      <c r="G34" s="97"/>
      <c r="H34" s="69"/>
      <c r="I34" s="69"/>
      <c r="J34" s="69"/>
      <c r="K34" s="69"/>
      <c r="L34" s="69"/>
      <c r="M34" s="133"/>
      <c r="N34" s="100">
        <v>500004724</v>
      </c>
      <c r="O34" s="137" t="s">
        <v>83</v>
      </c>
      <c r="P34" s="138" t="s">
        <v>27</v>
      </c>
      <c r="Q34" s="155"/>
      <c r="R34" s="147"/>
    </row>
    <row r="35" ht="12" customHeight="1" spans="1:18">
      <c r="A35" s="66"/>
      <c r="B35" s="99" t="s">
        <v>84</v>
      </c>
      <c r="C35" s="100" t="s">
        <v>72</v>
      </c>
      <c r="D35" s="69"/>
      <c r="E35" s="69"/>
      <c r="F35" s="97"/>
      <c r="G35" s="97"/>
      <c r="H35" s="69"/>
      <c r="I35" s="69"/>
      <c r="J35" s="69"/>
      <c r="K35" s="69"/>
      <c r="L35" s="69"/>
      <c r="M35" s="133"/>
      <c r="N35" s="100">
        <v>200002671</v>
      </c>
      <c r="O35" s="137" t="s">
        <v>85</v>
      </c>
      <c r="P35" s="138" t="s">
        <v>32</v>
      </c>
      <c r="Q35" s="155"/>
      <c r="R35" s="147"/>
    </row>
    <row r="36" ht="12" customHeight="1" spans="1:18">
      <c r="A36" s="66"/>
      <c r="B36" s="99" t="s">
        <v>86</v>
      </c>
      <c r="C36" s="100" t="s">
        <v>72</v>
      </c>
      <c r="D36" s="69"/>
      <c r="E36" s="69"/>
      <c r="F36" s="97"/>
      <c r="G36" s="97"/>
      <c r="H36" s="69"/>
      <c r="I36" s="69"/>
      <c r="J36" s="69"/>
      <c r="K36" s="69"/>
      <c r="L36" s="69"/>
      <c r="M36" s="133"/>
      <c r="N36" s="100">
        <v>500004725</v>
      </c>
      <c r="O36" s="137" t="s">
        <v>87</v>
      </c>
      <c r="P36" s="138" t="s">
        <v>27</v>
      </c>
      <c r="Q36" s="155"/>
      <c r="R36" s="147"/>
    </row>
    <row r="37" ht="12" customHeight="1" spans="1:18">
      <c r="A37" s="66"/>
      <c r="B37" s="101" t="s">
        <v>88</v>
      </c>
      <c r="C37" s="100" t="s">
        <v>72</v>
      </c>
      <c r="D37" s="69"/>
      <c r="E37" s="69"/>
      <c r="F37" s="97"/>
      <c r="G37" s="97"/>
      <c r="H37" s="69"/>
      <c r="I37" s="69"/>
      <c r="J37" s="69"/>
      <c r="K37" s="69"/>
      <c r="L37" s="69"/>
      <c r="M37" s="133"/>
      <c r="N37" s="139">
        <v>200002713</v>
      </c>
      <c r="O37" s="140" t="s">
        <v>89</v>
      </c>
      <c r="P37" s="138" t="s">
        <v>32</v>
      </c>
      <c r="Q37" s="155"/>
      <c r="R37" s="147"/>
    </row>
    <row r="38" ht="12" customHeight="1" spans="1:18">
      <c r="A38" s="66"/>
      <c r="B38" s="101" t="s">
        <v>90</v>
      </c>
      <c r="C38" s="100" t="s">
        <v>72</v>
      </c>
      <c r="D38" s="69"/>
      <c r="E38" s="69"/>
      <c r="F38" s="97"/>
      <c r="G38" s="97"/>
      <c r="H38" s="69"/>
      <c r="I38" s="69"/>
      <c r="J38" s="69"/>
      <c r="K38" s="69"/>
      <c r="L38" s="69"/>
      <c r="M38" s="133"/>
      <c r="N38" s="139">
        <v>500004777</v>
      </c>
      <c r="O38" s="140" t="s">
        <v>91</v>
      </c>
      <c r="P38" s="138" t="s">
        <v>27</v>
      </c>
      <c r="Q38" s="155"/>
      <c r="R38" s="147"/>
    </row>
    <row r="39" ht="12" customHeight="1" spans="1:18">
      <c r="A39" s="66"/>
      <c r="B39" s="101" t="s">
        <v>92</v>
      </c>
      <c r="C39" s="100" t="s">
        <v>72</v>
      </c>
      <c r="D39" s="69"/>
      <c r="E39" s="69"/>
      <c r="F39" s="97"/>
      <c r="G39" s="97"/>
      <c r="H39" s="69"/>
      <c r="I39" s="69"/>
      <c r="J39" s="69"/>
      <c r="K39" s="69"/>
      <c r="L39" s="69"/>
      <c r="M39" s="133"/>
      <c r="N39" s="139">
        <v>200002714</v>
      </c>
      <c r="O39" s="140" t="s">
        <v>93</v>
      </c>
      <c r="P39" s="138" t="s">
        <v>32</v>
      </c>
      <c r="Q39" s="155"/>
      <c r="R39" s="147"/>
    </row>
    <row r="40" ht="12" customHeight="1" spans="1:18">
      <c r="A40" s="66"/>
      <c r="B40" s="101" t="s">
        <v>94</v>
      </c>
      <c r="C40" s="100" t="s">
        <v>72</v>
      </c>
      <c r="D40" s="69"/>
      <c r="E40" s="69"/>
      <c r="F40" s="97"/>
      <c r="G40" s="97"/>
      <c r="H40" s="69"/>
      <c r="I40" s="69"/>
      <c r="J40" s="69"/>
      <c r="K40" s="69"/>
      <c r="L40" s="69"/>
      <c r="M40" s="133"/>
      <c r="N40" s="139">
        <v>500004778</v>
      </c>
      <c r="O40" s="140" t="s">
        <v>95</v>
      </c>
      <c r="P40" s="138" t="s">
        <v>27</v>
      </c>
      <c r="Q40" s="155"/>
      <c r="R40" s="147"/>
    </row>
    <row r="41" ht="12" customHeight="1" spans="1:18">
      <c r="A41" s="66" t="s">
        <v>96</v>
      </c>
      <c r="B41" s="95" t="s">
        <v>97</v>
      </c>
      <c r="C41" s="68"/>
      <c r="D41" s="69"/>
      <c r="E41" s="69"/>
      <c r="F41" s="97"/>
      <c r="G41" s="97"/>
      <c r="H41" s="69">
        <f t="shared" si="4"/>
        <v>0</v>
      </c>
      <c r="I41" s="69">
        <f t="shared" si="4"/>
        <v>0</v>
      </c>
      <c r="J41" s="69"/>
      <c r="K41" s="69">
        <f t="shared" si="5"/>
        <v>0</v>
      </c>
      <c r="L41" s="69">
        <f t="shared" si="6"/>
        <v>0</v>
      </c>
      <c r="M41" s="133"/>
      <c r="N41" s="135"/>
      <c r="O41" s="66"/>
      <c r="P41" s="96"/>
      <c r="Q41" s="155"/>
      <c r="R41" s="147"/>
    </row>
    <row r="42" ht="12" customHeight="1" spans="1:18">
      <c r="A42" s="66"/>
      <c r="B42" s="95" t="s">
        <v>98</v>
      </c>
      <c r="C42" s="66" t="s">
        <v>72</v>
      </c>
      <c r="D42" s="69"/>
      <c r="E42" s="69"/>
      <c r="F42" s="102"/>
      <c r="G42" s="97"/>
      <c r="H42" s="69">
        <f t="shared" si="4"/>
        <v>0</v>
      </c>
      <c r="I42" s="69">
        <f t="shared" si="4"/>
        <v>0</v>
      </c>
      <c r="J42" s="69"/>
      <c r="K42" s="69">
        <f t="shared" si="5"/>
        <v>0</v>
      </c>
      <c r="L42" s="69">
        <f t="shared" si="6"/>
        <v>0</v>
      </c>
      <c r="M42" s="133"/>
      <c r="N42" s="135">
        <v>200001039</v>
      </c>
      <c r="O42" s="136" t="s">
        <v>99</v>
      </c>
      <c r="P42" s="96" t="s">
        <v>32</v>
      </c>
      <c r="Q42" s="155"/>
      <c r="R42" s="147"/>
    </row>
    <row r="43" ht="12" customHeight="1" spans="1:18">
      <c r="A43" s="66"/>
      <c r="B43" s="95" t="s">
        <v>100</v>
      </c>
      <c r="C43" s="66" t="s">
        <v>72</v>
      </c>
      <c r="D43" s="69"/>
      <c r="E43" s="69"/>
      <c r="F43" s="97"/>
      <c r="G43" s="102"/>
      <c r="H43" s="69"/>
      <c r="I43" s="69">
        <f t="shared" si="4"/>
        <v>0</v>
      </c>
      <c r="J43" s="69"/>
      <c r="K43" s="69">
        <f t="shared" si="5"/>
        <v>0</v>
      </c>
      <c r="L43" s="69">
        <f t="shared" si="6"/>
        <v>0</v>
      </c>
      <c r="M43" s="133"/>
      <c r="N43" s="135">
        <v>500002053</v>
      </c>
      <c r="O43" s="136" t="s">
        <v>101</v>
      </c>
      <c r="P43" s="96" t="s">
        <v>27</v>
      </c>
      <c r="Q43" s="155"/>
      <c r="R43" s="147"/>
    </row>
    <row r="44" ht="12" customHeight="1" spans="1:18">
      <c r="A44" s="103"/>
      <c r="B44" s="95" t="s">
        <v>102</v>
      </c>
      <c r="C44" s="103" t="s">
        <v>72</v>
      </c>
      <c r="D44" s="69"/>
      <c r="E44" s="69"/>
      <c r="F44" s="102"/>
      <c r="G44" s="97"/>
      <c r="H44" s="69">
        <f t="shared" si="4"/>
        <v>0</v>
      </c>
      <c r="I44" s="69">
        <f t="shared" si="4"/>
        <v>0</v>
      </c>
      <c r="J44" s="69"/>
      <c r="K44" s="69">
        <f t="shared" si="5"/>
        <v>0</v>
      </c>
      <c r="L44" s="69">
        <f t="shared" si="6"/>
        <v>0</v>
      </c>
      <c r="M44" s="141"/>
      <c r="N44" s="135" t="s">
        <v>636</v>
      </c>
      <c r="O44" s="136" t="s">
        <v>103</v>
      </c>
      <c r="P44" s="96" t="s">
        <v>32</v>
      </c>
      <c r="Q44" s="155"/>
      <c r="R44" s="159"/>
    </row>
    <row r="45" ht="12" customHeight="1" spans="1:18">
      <c r="A45" s="103"/>
      <c r="B45" s="95" t="s">
        <v>104</v>
      </c>
      <c r="C45" s="66" t="s">
        <v>72</v>
      </c>
      <c r="D45" s="69"/>
      <c r="E45" s="69"/>
      <c r="F45" s="97"/>
      <c r="G45" s="102"/>
      <c r="H45" s="69">
        <f t="shared" si="4"/>
        <v>0</v>
      </c>
      <c r="I45" s="69">
        <f t="shared" si="4"/>
        <v>0</v>
      </c>
      <c r="J45" s="69"/>
      <c r="K45" s="69">
        <f t="shared" si="5"/>
        <v>0</v>
      </c>
      <c r="L45" s="69">
        <f t="shared" si="6"/>
        <v>0</v>
      </c>
      <c r="M45" s="141"/>
      <c r="N45" s="135" t="s">
        <v>637</v>
      </c>
      <c r="O45" s="136" t="s">
        <v>105</v>
      </c>
      <c r="P45" s="96" t="s">
        <v>27</v>
      </c>
      <c r="Q45" s="155"/>
      <c r="R45" s="159"/>
    </row>
    <row r="46" ht="12" customHeight="1" spans="1:18">
      <c r="A46" s="103"/>
      <c r="B46" s="95" t="s">
        <v>106</v>
      </c>
      <c r="C46" s="103" t="s">
        <v>72</v>
      </c>
      <c r="D46" s="69"/>
      <c r="E46" s="69"/>
      <c r="F46" s="97"/>
      <c r="G46" s="97"/>
      <c r="H46" s="69">
        <f t="shared" si="4"/>
        <v>0</v>
      </c>
      <c r="I46" s="69">
        <f t="shared" si="4"/>
        <v>0</v>
      </c>
      <c r="J46" s="69"/>
      <c r="K46" s="69">
        <f t="shared" si="5"/>
        <v>0</v>
      </c>
      <c r="L46" s="69">
        <f t="shared" si="6"/>
        <v>0</v>
      </c>
      <c r="M46" s="141"/>
      <c r="N46" s="135" t="s">
        <v>638</v>
      </c>
      <c r="O46" s="136" t="s">
        <v>107</v>
      </c>
      <c r="P46" s="96" t="s">
        <v>32</v>
      </c>
      <c r="Q46" s="155"/>
      <c r="R46" s="159"/>
    </row>
    <row r="47" ht="12" customHeight="1" spans="1:18">
      <c r="A47" s="103"/>
      <c r="B47" s="95" t="s">
        <v>108</v>
      </c>
      <c r="C47" s="66" t="s">
        <v>72</v>
      </c>
      <c r="D47" s="69"/>
      <c r="E47" s="69"/>
      <c r="F47" s="97"/>
      <c r="G47" s="97"/>
      <c r="H47" s="69">
        <f t="shared" si="4"/>
        <v>0</v>
      </c>
      <c r="I47" s="69">
        <f t="shared" si="4"/>
        <v>0</v>
      </c>
      <c r="J47" s="69"/>
      <c r="K47" s="69">
        <f t="shared" si="5"/>
        <v>0</v>
      </c>
      <c r="L47" s="69">
        <f t="shared" si="6"/>
        <v>0</v>
      </c>
      <c r="M47" s="141"/>
      <c r="N47" s="135" t="s">
        <v>639</v>
      </c>
      <c r="O47" s="136" t="s">
        <v>109</v>
      </c>
      <c r="P47" s="96" t="s">
        <v>27</v>
      </c>
      <c r="Q47" s="155"/>
      <c r="R47" s="159"/>
    </row>
    <row r="48" ht="12" customHeight="1" spans="1:18">
      <c r="A48" s="103"/>
      <c r="B48" s="95" t="s">
        <v>110</v>
      </c>
      <c r="C48" s="103" t="s">
        <v>72</v>
      </c>
      <c r="D48" s="69"/>
      <c r="E48" s="69"/>
      <c r="F48" s="97"/>
      <c r="G48" s="97"/>
      <c r="H48" s="69">
        <f t="shared" si="4"/>
        <v>0</v>
      </c>
      <c r="I48" s="69">
        <f t="shared" si="4"/>
        <v>0</v>
      </c>
      <c r="J48" s="69"/>
      <c r="K48" s="69">
        <f t="shared" si="5"/>
        <v>0</v>
      </c>
      <c r="L48" s="69">
        <f t="shared" si="6"/>
        <v>0</v>
      </c>
      <c r="M48" s="141"/>
      <c r="N48" s="135" t="s">
        <v>640</v>
      </c>
      <c r="O48" s="136" t="s">
        <v>111</v>
      </c>
      <c r="P48" s="96" t="s">
        <v>32</v>
      </c>
      <c r="Q48" s="155"/>
      <c r="R48" s="159"/>
    </row>
    <row r="49" ht="12" customHeight="1" spans="1:18">
      <c r="A49" s="103"/>
      <c r="B49" s="95" t="s">
        <v>112</v>
      </c>
      <c r="C49" s="66" t="s">
        <v>72</v>
      </c>
      <c r="D49" s="69"/>
      <c r="E49" s="69"/>
      <c r="F49" s="97"/>
      <c r="G49" s="97"/>
      <c r="H49" s="69">
        <f t="shared" si="4"/>
        <v>0</v>
      </c>
      <c r="I49" s="69">
        <f t="shared" si="4"/>
        <v>0</v>
      </c>
      <c r="J49" s="69"/>
      <c r="K49" s="69">
        <f t="shared" si="5"/>
        <v>0</v>
      </c>
      <c r="L49" s="69">
        <f t="shared" si="6"/>
        <v>0</v>
      </c>
      <c r="M49" s="141"/>
      <c r="N49" s="135" t="s">
        <v>641</v>
      </c>
      <c r="O49" s="136" t="s">
        <v>113</v>
      </c>
      <c r="P49" s="96" t="s">
        <v>27</v>
      </c>
      <c r="Q49" s="155"/>
      <c r="R49" s="159"/>
    </row>
    <row r="50" ht="12" customHeight="1" spans="1:18">
      <c r="A50" s="103"/>
      <c r="B50" s="95" t="s">
        <v>114</v>
      </c>
      <c r="C50" s="103" t="s">
        <v>72</v>
      </c>
      <c r="D50" s="69"/>
      <c r="E50" s="69"/>
      <c r="F50" s="97"/>
      <c r="G50" s="97"/>
      <c r="H50" s="69">
        <f t="shared" si="4"/>
        <v>0</v>
      </c>
      <c r="I50" s="69">
        <f t="shared" si="4"/>
        <v>0</v>
      </c>
      <c r="J50" s="69"/>
      <c r="K50" s="69">
        <f t="shared" si="5"/>
        <v>0</v>
      </c>
      <c r="L50" s="69">
        <f t="shared" si="6"/>
        <v>0</v>
      </c>
      <c r="M50" s="141"/>
      <c r="N50" s="135" t="s">
        <v>642</v>
      </c>
      <c r="O50" s="136" t="s">
        <v>115</v>
      </c>
      <c r="P50" s="96" t="s">
        <v>32</v>
      </c>
      <c r="Q50" s="155"/>
      <c r="R50" s="159"/>
    </row>
    <row r="51" ht="12" customHeight="1" spans="1:18">
      <c r="A51" s="103"/>
      <c r="B51" s="95" t="s">
        <v>116</v>
      </c>
      <c r="C51" s="66" t="s">
        <v>72</v>
      </c>
      <c r="D51" s="69"/>
      <c r="E51" s="69"/>
      <c r="F51" s="97"/>
      <c r="G51" s="97"/>
      <c r="H51" s="69">
        <f t="shared" si="4"/>
        <v>0</v>
      </c>
      <c r="I51" s="69">
        <f t="shared" si="4"/>
        <v>0</v>
      </c>
      <c r="J51" s="69"/>
      <c r="K51" s="69">
        <f t="shared" si="5"/>
        <v>0</v>
      </c>
      <c r="L51" s="69">
        <f t="shared" si="6"/>
        <v>0</v>
      </c>
      <c r="M51" s="141"/>
      <c r="N51" s="135" t="s">
        <v>643</v>
      </c>
      <c r="O51" s="136" t="s">
        <v>117</v>
      </c>
      <c r="P51" s="96" t="s">
        <v>27</v>
      </c>
      <c r="Q51" s="155"/>
      <c r="R51" s="159"/>
    </row>
    <row r="52" ht="12" customHeight="1" spans="1:18">
      <c r="A52" s="103"/>
      <c r="B52" s="95" t="s">
        <v>118</v>
      </c>
      <c r="C52" s="103" t="s">
        <v>72</v>
      </c>
      <c r="D52" s="69"/>
      <c r="E52" s="69"/>
      <c r="F52" s="97"/>
      <c r="G52" s="97"/>
      <c r="H52" s="69">
        <f t="shared" si="4"/>
        <v>0</v>
      </c>
      <c r="I52" s="69">
        <f t="shared" si="4"/>
        <v>0</v>
      </c>
      <c r="J52" s="69"/>
      <c r="K52" s="69">
        <f t="shared" si="5"/>
        <v>0</v>
      </c>
      <c r="L52" s="69">
        <f t="shared" si="6"/>
        <v>0</v>
      </c>
      <c r="M52" s="141"/>
      <c r="N52" s="135" t="s">
        <v>644</v>
      </c>
      <c r="O52" s="136" t="s">
        <v>119</v>
      </c>
      <c r="P52" s="96" t="s">
        <v>32</v>
      </c>
      <c r="Q52" s="155"/>
      <c r="R52" s="159"/>
    </row>
    <row r="53" ht="12" customHeight="1" spans="1:18">
      <c r="A53" s="103"/>
      <c r="B53" s="104" t="s">
        <v>120</v>
      </c>
      <c r="C53" s="66" t="s">
        <v>72</v>
      </c>
      <c r="D53" s="69"/>
      <c r="E53" s="69"/>
      <c r="F53" s="97"/>
      <c r="G53" s="97"/>
      <c r="H53" s="69">
        <f t="shared" si="4"/>
        <v>0</v>
      </c>
      <c r="I53" s="69">
        <f t="shared" si="4"/>
        <v>0</v>
      </c>
      <c r="J53" s="69"/>
      <c r="K53" s="69">
        <f t="shared" si="5"/>
        <v>0</v>
      </c>
      <c r="L53" s="69">
        <f t="shared" si="6"/>
        <v>0</v>
      </c>
      <c r="M53" s="141"/>
      <c r="N53" s="135" t="s">
        <v>645</v>
      </c>
      <c r="O53" s="136" t="s">
        <v>121</v>
      </c>
      <c r="P53" s="96" t="s">
        <v>27</v>
      </c>
      <c r="Q53" s="155"/>
      <c r="R53" s="159"/>
    </row>
    <row r="54" ht="12" customHeight="1" spans="1:18">
      <c r="A54" s="103"/>
      <c r="B54" s="99" t="s">
        <v>122</v>
      </c>
      <c r="C54" s="105" t="s">
        <v>123</v>
      </c>
      <c r="D54" s="69"/>
      <c r="E54" s="69"/>
      <c r="F54" s="97"/>
      <c r="G54" s="97"/>
      <c r="H54" s="69"/>
      <c r="I54" s="69"/>
      <c r="J54" s="69"/>
      <c r="K54" s="69"/>
      <c r="L54" s="69"/>
      <c r="M54" s="141"/>
      <c r="N54" s="100">
        <v>200002672</v>
      </c>
      <c r="O54" s="99" t="s">
        <v>124</v>
      </c>
      <c r="P54" s="142" t="s">
        <v>32</v>
      </c>
      <c r="Q54" s="155"/>
      <c r="R54" s="159"/>
    </row>
    <row r="55" ht="12" customHeight="1" spans="1:18">
      <c r="A55" s="103"/>
      <c r="B55" s="99" t="s">
        <v>125</v>
      </c>
      <c r="C55" s="105" t="s">
        <v>123</v>
      </c>
      <c r="D55" s="69"/>
      <c r="E55" s="69"/>
      <c r="F55" s="97"/>
      <c r="G55" s="97"/>
      <c r="H55" s="69"/>
      <c r="I55" s="69"/>
      <c r="J55" s="69"/>
      <c r="K55" s="69"/>
      <c r="L55" s="69"/>
      <c r="M55" s="141"/>
      <c r="N55" s="100">
        <v>500004726</v>
      </c>
      <c r="O55" s="99" t="s">
        <v>126</v>
      </c>
      <c r="P55" s="142" t="s">
        <v>27</v>
      </c>
      <c r="Q55" s="155"/>
      <c r="R55" s="159"/>
    </row>
    <row r="56" ht="12" customHeight="1" spans="1:18">
      <c r="A56" s="66" t="s">
        <v>127</v>
      </c>
      <c r="B56" s="106" t="s">
        <v>128</v>
      </c>
      <c r="C56" s="68"/>
      <c r="D56" s="69"/>
      <c r="E56" s="69"/>
      <c r="F56" s="97"/>
      <c r="G56" s="97"/>
      <c r="H56" s="69">
        <f t="shared" si="4"/>
        <v>0</v>
      </c>
      <c r="I56" s="69">
        <f t="shared" si="4"/>
        <v>0</v>
      </c>
      <c r="J56" s="69"/>
      <c r="K56" s="69">
        <f t="shared" si="5"/>
        <v>0</v>
      </c>
      <c r="L56" s="69">
        <f t="shared" si="6"/>
        <v>0</v>
      </c>
      <c r="M56" s="133"/>
      <c r="N56" s="66"/>
      <c r="O56" s="66"/>
      <c r="P56" s="96"/>
      <c r="Q56" s="155"/>
      <c r="R56" s="147"/>
    </row>
    <row r="57" ht="12" customHeight="1" spans="1:18">
      <c r="A57" s="66"/>
      <c r="B57" s="107" t="s">
        <v>129</v>
      </c>
      <c r="C57" s="68" t="s">
        <v>123</v>
      </c>
      <c r="D57" s="69"/>
      <c r="E57" s="69"/>
      <c r="F57" s="97"/>
      <c r="G57" s="97"/>
      <c r="H57" s="69">
        <f t="shared" si="4"/>
        <v>0</v>
      </c>
      <c r="I57" s="69">
        <f t="shared" si="4"/>
        <v>0</v>
      </c>
      <c r="J57" s="69"/>
      <c r="K57" s="69">
        <f t="shared" si="5"/>
        <v>0</v>
      </c>
      <c r="L57" s="69">
        <f t="shared" si="6"/>
        <v>0</v>
      </c>
      <c r="M57" s="133"/>
      <c r="N57" s="143">
        <v>100000191</v>
      </c>
      <c r="O57" s="107" t="s">
        <v>130</v>
      </c>
      <c r="P57" s="96" t="s">
        <v>32</v>
      </c>
      <c r="Q57" s="155"/>
      <c r="R57" s="147"/>
    </row>
    <row r="58" ht="12" customHeight="1" spans="1:18">
      <c r="A58" s="66"/>
      <c r="B58" s="107" t="s">
        <v>131</v>
      </c>
      <c r="C58" s="68" t="s">
        <v>123</v>
      </c>
      <c r="D58" s="69"/>
      <c r="E58" s="69"/>
      <c r="F58" s="71"/>
      <c r="G58" s="108"/>
      <c r="H58" s="69">
        <f t="shared" si="4"/>
        <v>0</v>
      </c>
      <c r="I58" s="69">
        <f t="shared" si="4"/>
        <v>0</v>
      </c>
      <c r="J58" s="69"/>
      <c r="K58" s="69">
        <f t="shared" si="5"/>
        <v>0</v>
      </c>
      <c r="L58" s="69">
        <f t="shared" si="6"/>
        <v>0</v>
      </c>
      <c r="M58" s="133"/>
      <c r="N58" s="143">
        <v>100000826</v>
      </c>
      <c r="O58" s="107" t="s">
        <v>132</v>
      </c>
      <c r="P58" s="96" t="s">
        <v>32</v>
      </c>
      <c r="Q58" s="155"/>
      <c r="R58" s="147"/>
    </row>
    <row r="59" ht="12" customHeight="1" spans="1:18">
      <c r="A59" s="66" t="s">
        <v>133</v>
      </c>
      <c r="B59" s="106" t="s">
        <v>134</v>
      </c>
      <c r="C59" s="68"/>
      <c r="D59" s="69"/>
      <c r="E59" s="69"/>
      <c r="F59" s="97"/>
      <c r="G59" s="97"/>
      <c r="H59" s="69">
        <f t="shared" si="4"/>
        <v>0</v>
      </c>
      <c r="I59" s="69">
        <f t="shared" si="4"/>
        <v>0</v>
      </c>
      <c r="J59" s="69"/>
      <c r="K59" s="69">
        <f t="shared" si="5"/>
        <v>0</v>
      </c>
      <c r="L59" s="69">
        <f t="shared" si="6"/>
        <v>0</v>
      </c>
      <c r="M59" s="133"/>
      <c r="N59" s="66"/>
      <c r="O59" s="66"/>
      <c r="P59" s="96"/>
      <c r="Q59" s="155"/>
      <c r="R59" s="147"/>
    </row>
    <row r="60" ht="12" customHeight="1" spans="1:18">
      <c r="A60" s="66"/>
      <c r="B60" s="107" t="s">
        <v>135</v>
      </c>
      <c r="C60" s="68" t="s">
        <v>123</v>
      </c>
      <c r="D60" s="69"/>
      <c r="E60" s="69"/>
      <c r="F60" s="97"/>
      <c r="G60" s="97"/>
      <c r="H60" s="69">
        <f t="shared" si="4"/>
        <v>0</v>
      </c>
      <c r="I60" s="69">
        <f t="shared" si="4"/>
        <v>0</v>
      </c>
      <c r="J60" s="69"/>
      <c r="K60" s="69">
        <f t="shared" si="5"/>
        <v>0</v>
      </c>
      <c r="L60" s="69">
        <f t="shared" si="6"/>
        <v>0</v>
      </c>
      <c r="M60" s="133"/>
      <c r="N60" s="135" t="s">
        <v>646</v>
      </c>
      <c r="O60" s="136" t="s">
        <v>136</v>
      </c>
      <c r="P60" s="96" t="s">
        <v>32</v>
      </c>
      <c r="Q60" s="155"/>
      <c r="R60" s="147"/>
    </row>
    <row r="61" ht="12" customHeight="1" spans="1:18">
      <c r="A61" s="66"/>
      <c r="B61" s="107" t="s">
        <v>137</v>
      </c>
      <c r="C61" s="68" t="s">
        <v>123</v>
      </c>
      <c r="D61" s="69"/>
      <c r="E61" s="69"/>
      <c r="F61" s="71"/>
      <c r="G61" s="108"/>
      <c r="H61" s="69">
        <f t="shared" si="4"/>
        <v>0</v>
      </c>
      <c r="I61" s="69">
        <f t="shared" si="4"/>
        <v>0</v>
      </c>
      <c r="J61" s="69"/>
      <c r="K61" s="69">
        <f t="shared" si="5"/>
        <v>0</v>
      </c>
      <c r="L61" s="69">
        <f t="shared" si="6"/>
        <v>0</v>
      </c>
      <c r="M61" s="133"/>
      <c r="N61" s="135">
        <v>200001046</v>
      </c>
      <c r="O61" s="136" t="s">
        <v>138</v>
      </c>
      <c r="P61" s="96" t="s">
        <v>32</v>
      </c>
      <c r="Q61" s="155"/>
      <c r="R61" s="147"/>
    </row>
    <row r="62" ht="12" customHeight="1" spans="1:18">
      <c r="A62" s="66" t="s">
        <v>139</v>
      </c>
      <c r="B62" s="106" t="s">
        <v>140</v>
      </c>
      <c r="C62" s="68"/>
      <c r="D62" s="69"/>
      <c r="E62" s="69"/>
      <c r="F62" s="97"/>
      <c r="G62" s="97"/>
      <c r="H62" s="69">
        <f t="shared" si="4"/>
        <v>0</v>
      </c>
      <c r="I62" s="69">
        <f t="shared" si="4"/>
        <v>0</v>
      </c>
      <c r="J62" s="69"/>
      <c r="K62" s="69">
        <f t="shared" si="5"/>
        <v>0</v>
      </c>
      <c r="L62" s="69">
        <f t="shared" si="6"/>
        <v>0</v>
      </c>
      <c r="M62" s="133"/>
      <c r="N62" s="144"/>
      <c r="O62" s="66"/>
      <c r="P62" s="96"/>
      <c r="Q62" s="155"/>
      <c r="R62" s="147"/>
    </row>
    <row r="63" ht="12" customHeight="1" spans="1:18">
      <c r="A63" s="66"/>
      <c r="B63" s="95" t="s">
        <v>141</v>
      </c>
      <c r="C63" s="68" t="s">
        <v>123</v>
      </c>
      <c r="D63" s="69"/>
      <c r="E63" s="69"/>
      <c r="F63" s="71"/>
      <c r="G63" s="97"/>
      <c r="H63" s="69">
        <f t="shared" si="4"/>
        <v>0</v>
      </c>
      <c r="I63" s="69">
        <f t="shared" si="4"/>
        <v>0</v>
      </c>
      <c r="J63" s="69"/>
      <c r="K63" s="69">
        <f t="shared" si="5"/>
        <v>0</v>
      </c>
      <c r="L63" s="69">
        <f t="shared" si="6"/>
        <v>0</v>
      </c>
      <c r="M63" s="133"/>
      <c r="N63" s="135">
        <v>200001047</v>
      </c>
      <c r="O63" s="136" t="s">
        <v>142</v>
      </c>
      <c r="P63" s="96" t="s">
        <v>32</v>
      </c>
      <c r="Q63" s="155"/>
      <c r="R63" s="147"/>
    </row>
    <row r="64" ht="12" customHeight="1" spans="1:18">
      <c r="A64" s="66"/>
      <c r="B64" s="95" t="s">
        <v>143</v>
      </c>
      <c r="C64" s="68" t="s">
        <v>123</v>
      </c>
      <c r="D64" s="69"/>
      <c r="E64" s="69"/>
      <c r="F64" s="97"/>
      <c r="G64" s="71"/>
      <c r="H64" s="69">
        <f t="shared" si="4"/>
        <v>0</v>
      </c>
      <c r="I64" s="69">
        <f t="shared" si="4"/>
        <v>0</v>
      </c>
      <c r="J64" s="69"/>
      <c r="K64" s="69">
        <f t="shared" si="5"/>
        <v>0</v>
      </c>
      <c r="L64" s="69">
        <f t="shared" si="6"/>
        <v>0</v>
      </c>
      <c r="M64" s="145">
        <v>500002142</v>
      </c>
      <c r="N64" s="145">
        <v>500002142</v>
      </c>
      <c r="O64" s="136" t="s">
        <v>144</v>
      </c>
      <c r="P64" s="96" t="s">
        <v>27</v>
      </c>
      <c r="Q64" s="155"/>
      <c r="R64" s="147"/>
    </row>
    <row r="65" ht="12" customHeight="1" spans="1:18">
      <c r="A65" s="66"/>
      <c r="B65" s="95" t="s">
        <v>145</v>
      </c>
      <c r="C65" s="68" t="s">
        <v>123</v>
      </c>
      <c r="D65" s="69"/>
      <c r="E65" s="69"/>
      <c r="F65" s="97"/>
      <c r="G65" s="97"/>
      <c r="H65" s="69">
        <f t="shared" si="4"/>
        <v>0</v>
      </c>
      <c r="I65" s="69">
        <f t="shared" si="4"/>
        <v>0</v>
      </c>
      <c r="J65" s="69"/>
      <c r="K65" s="69">
        <f t="shared" si="5"/>
        <v>0</v>
      </c>
      <c r="L65" s="69">
        <f t="shared" si="6"/>
        <v>0</v>
      </c>
      <c r="M65" s="175"/>
      <c r="N65" s="135">
        <v>100000824</v>
      </c>
      <c r="O65" s="136" t="s">
        <v>146</v>
      </c>
      <c r="P65" s="96" t="s">
        <v>32</v>
      </c>
      <c r="Q65" s="155"/>
      <c r="R65" s="147"/>
    </row>
    <row r="66" ht="12" customHeight="1" spans="1:18">
      <c r="A66" s="66"/>
      <c r="B66" s="95" t="s">
        <v>147</v>
      </c>
      <c r="C66" s="68" t="s">
        <v>123</v>
      </c>
      <c r="D66" s="69"/>
      <c r="E66" s="69"/>
      <c r="F66" s="97"/>
      <c r="G66" s="97"/>
      <c r="H66" s="69">
        <f t="shared" si="4"/>
        <v>0</v>
      </c>
      <c r="I66" s="69">
        <f t="shared" si="4"/>
        <v>0</v>
      </c>
      <c r="J66" s="69"/>
      <c r="K66" s="69">
        <f t="shared" si="5"/>
        <v>0</v>
      </c>
      <c r="L66" s="69">
        <f t="shared" si="6"/>
        <v>0</v>
      </c>
      <c r="M66" s="175"/>
      <c r="N66" s="135">
        <v>500002097</v>
      </c>
      <c r="O66" s="136" t="s">
        <v>144</v>
      </c>
      <c r="P66" s="96" t="s">
        <v>27</v>
      </c>
      <c r="Q66" s="155"/>
      <c r="R66" s="147"/>
    </row>
    <row r="67" ht="12" customHeight="1" spans="1:18">
      <c r="A67" s="66" t="s">
        <v>160</v>
      </c>
      <c r="B67" s="95" t="s">
        <v>161</v>
      </c>
      <c r="C67" s="68" t="s">
        <v>123</v>
      </c>
      <c r="D67" s="69"/>
      <c r="E67" s="69"/>
      <c r="F67" s="97"/>
      <c r="G67" s="97"/>
      <c r="H67" s="69">
        <f t="shared" si="4"/>
        <v>0</v>
      </c>
      <c r="I67" s="69">
        <f t="shared" si="4"/>
        <v>0</v>
      </c>
      <c r="J67" s="69"/>
      <c r="K67" s="69">
        <f t="shared" si="5"/>
        <v>0</v>
      </c>
      <c r="L67" s="69">
        <f t="shared" si="6"/>
        <v>0</v>
      </c>
      <c r="M67" s="175"/>
      <c r="N67" s="135">
        <v>200000165</v>
      </c>
      <c r="O67" s="136" t="s">
        <v>162</v>
      </c>
      <c r="P67" s="96" t="s">
        <v>32</v>
      </c>
      <c r="Q67" s="155"/>
      <c r="R67" s="147"/>
    </row>
    <row r="68" ht="12" customHeight="1" spans="1:18">
      <c r="A68" s="66"/>
      <c r="B68" s="99" t="s">
        <v>148</v>
      </c>
      <c r="C68" s="160" t="s">
        <v>123</v>
      </c>
      <c r="D68" s="69"/>
      <c r="E68" s="69"/>
      <c r="F68" s="97"/>
      <c r="G68" s="97"/>
      <c r="H68" s="69"/>
      <c r="I68" s="69"/>
      <c r="J68" s="69"/>
      <c r="K68" s="69"/>
      <c r="L68" s="69"/>
      <c r="M68" s="175"/>
      <c r="N68" s="100">
        <v>500004720</v>
      </c>
      <c r="O68" s="99" t="s">
        <v>149</v>
      </c>
      <c r="P68" s="176" t="s">
        <v>27</v>
      </c>
      <c r="Q68" s="155"/>
      <c r="R68" s="147"/>
    </row>
    <row r="69" ht="12" customHeight="1" spans="1:18">
      <c r="A69" s="66"/>
      <c r="B69" s="99" t="s">
        <v>150</v>
      </c>
      <c r="C69" s="160" t="s">
        <v>123</v>
      </c>
      <c r="D69" s="69"/>
      <c r="E69" s="69"/>
      <c r="F69" s="97"/>
      <c r="G69" s="97"/>
      <c r="H69" s="69"/>
      <c r="I69" s="69"/>
      <c r="J69" s="69"/>
      <c r="K69" s="69"/>
      <c r="L69" s="69"/>
      <c r="M69" s="175"/>
      <c r="N69" s="100">
        <v>500004721</v>
      </c>
      <c r="O69" s="99" t="s">
        <v>151</v>
      </c>
      <c r="P69" s="176" t="s">
        <v>27</v>
      </c>
      <c r="Q69" s="155"/>
      <c r="R69" s="147"/>
    </row>
    <row r="70" ht="12" customHeight="1" spans="1:18">
      <c r="A70" s="66"/>
      <c r="B70" s="99" t="s">
        <v>152</v>
      </c>
      <c r="C70" s="160" t="s">
        <v>123</v>
      </c>
      <c r="D70" s="69"/>
      <c r="E70" s="69"/>
      <c r="F70" s="97"/>
      <c r="G70" s="97"/>
      <c r="H70" s="69"/>
      <c r="I70" s="69"/>
      <c r="J70" s="69"/>
      <c r="K70" s="69"/>
      <c r="L70" s="69"/>
      <c r="M70" s="175"/>
      <c r="N70" s="100">
        <v>200002673</v>
      </c>
      <c r="O70" s="99" t="s">
        <v>153</v>
      </c>
      <c r="P70" s="176" t="s">
        <v>32</v>
      </c>
      <c r="Q70" s="155"/>
      <c r="R70" s="147"/>
    </row>
    <row r="71" ht="12" customHeight="1" spans="1:18">
      <c r="A71" s="66"/>
      <c r="B71" s="99" t="s">
        <v>154</v>
      </c>
      <c r="C71" s="160" t="s">
        <v>123</v>
      </c>
      <c r="D71" s="69"/>
      <c r="E71" s="69"/>
      <c r="F71" s="97"/>
      <c r="G71" s="97"/>
      <c r="H71" s="69"/>
      <c r="I71" s="69"/>
      <c r="J71" s="69"/>
      <c r="K71" s="69"/>
      <c r="L71" s="69"/>
      <c r="M71" s="175"/>
      <c r="N71" s="100">
        <v>500004727</v>
      </c>
      <c r="O71" s="99" t="s">
        <v>155</v>
      </c>
      <c r="P71" s="176" t="s">
        <v>27</v>
      </c>
      <c r="Q71" s="155"/>
      <c r="R71" s="147"/>
    </row>
    <row r="72" ht="12" customHeight="1" spans="1:18">
      <c r="A72" s="66"/>
      <c r="B72" s="99" t="s">
        <v>156</v>
      </c>
      <c r="C72" s="160" t="s">
        <v>123</v>
      </c>
      <c r="D72" s="69"/>
      <c r="E72" s="69"/>
      <c r="F72" s="97"/>
      <c r="G72" s="97"/>
      <c r="H72" s="69"/>
      <c r="I72" s="69"/>
      <c r="J72" s="69"/>
      <c r="K72" s="69"/>
      <c r="L72" s="69"/>
      <c r="M72" s="175"/>
      <c r="N72" s="100">
        <v>200002674</v>
      </c>
      <c r="O72" s="99" t="s">
        <v>157</v>
      </c>
      <c r="P72" s="176" t="s">
        <v>32</v>
      </c>
      <c r="Q72" s="155"/>
      <c r="R72" s="147"/>
    </row>
    <row r="73" ht="12" customHeight="1" spans="1:18">
      <c r="A73" s="66"/>
      <c r="B73" s="99" t="s">
        <v>158</v>
      </c>
      <c r="C73" s="160" t="s">
        <v>123</v>
      </c>
      <c r="D73" s="69"/>
      <c r="E73" s="69"/>
      <c r="F73" s="97"/>
      <c r="G73" s="97"/>
      <c r="H73" s="69"/>
      <c r="I73" s="69"/>
      <c r="J73" s="69"/>
      <c r="K73" s="69"/>
      <c r="L73" s="69"/>
      <c r="M73" s="175"/>
      <c r="N73" s="100">
        <v>500004728</v>
      </c>
      <c r="O73" s="99" t="s">
        <v>159</v>
      </c>
      <c r="P73" s="176" t="s">
        <v>27</v>
      </c>
      <c r="Q73" s="155"/>
      <c r="R73" s="147"/>
    </row>
    <row r="74" ht="12" customHeight="1" spans="1:18">
      <c r="A74" s="66"/>
      <c r="B74" s="95" t="s">
        <v>163</v>
      </c>
      <c r="C74" s="68" t="s">
        <v>123</v>
      </c>
      <c r="D74" s="69"/>
      <c r="E74" s="69"/>
      <c r="F74" s="97"/>
      <c r="G74" s="97"/>
      <c r="H74" s="69">
        <f t="shared" ref="H74:I78" si="7">D74*F74</f>
        <v>0</v>
      </c>
      <c r="I74" s="69">
        <f t="shared" si="7"/>
        <v>0</v>
      </c>
      <c r="J74" s="69"/>
      <c r="K74" s="69">
        <f t="shared" si="5"/>
        <v>0</v>
      </c>
      <c r="L74" s="69">
        <f t="shared" si="6"/>
        <v>0</v>
      </c>
      <c r="M74" s="175"/>
      <c r="N74" s="135">
        <v>500002113</v>
      </c>
      <c r="O74" s="136" t="s">
        <v>164</v>
      </c>
      <c r="P74" s="96" t="s">
        <v>27</v>
      </c>
      <c r="Q74" s="155"/>
      <c r="R74" s="147"/>
    </row>
    <row r="75" ht="12" customHeight="1" spans="1:18">
      <c r="A75" s="66" t="s">
        <v>165</v>
      </c>
      <c r="B75" s="95" t="s">
        <v>166</v>
      </c>
      <c r="C75" s="68" t="s">
        <v>123</v>
      </c>
      <c r="D75" s="69"/>
      <c r="E75" s="69"/>
      <c r="F75" s="97"/>
      <c r="G75" s="97"/>
      <c r="H75" s="69">
        <f t="shared" si="7"/>
        <v>0</v>
      </c>
      <c r="I75" s="69">
        <f t="shared" si="7"/>
        <v>0</v>
      </c>
      <c r="J75" s="69"/>
      <c r="K75" s="69">
        <f t="shared" si="5"/>
        <v>0</v>
      </c>
      <c r="L75" s="69">
        <f t="shared" si="6"/>
        <v>0</v>
      </c>
      <c r="M75" s="133"/>
      <c r="N75" s="144"/>
      <c r="O75" s="125"/>
      <c r="P75" s="133"/>
      <c r="Q75" s="155"/>
      <c r="R75" s="147"/>
    </row>
    <row r="76" ht="12" customHeight="1" spans="1:18">
      <c r="A76" s="144"/>
      <c r="B76" s="161" t="s">
        <v>167</v>
      </c>
      <c r="C76" s="162" t="s">
        <v>123</v>
      </c>
      <c r="D76" s="69">
        <f>'BoM AE'!O23</f>
        <v>0</v>
      </c>
      <c r="E76" s="69"/>
      <c r="F76" s="97"/>
      <c r="G76" s="97"/>
      <c r="H76" s="69">
        <f t="shared" si="7"/>
        <v>0</v>
      </c>
      <c r="I76" s="69">
        <f t="shared" si="7"/>
        <v>0</v>
      </c>
      <c r="J76" s="69"/>
      <c r="K76" s="69">
        <f t="shared" si="5"/>
        <v>0</v>
      </c>
      <c r="L76" s="69">
        <f t="shared" si="6"/>
        <v>0</v>
      </c>
      <c r="M76" s="133"/>
      <c r="N76" s="177">
        <v>200000182</v>
      </c>
      <c r="O76" s="106" t="s">
        <v>168</v>
      </c>
      <c r="P76" s="96" t="s">
        <v>32</v>
      </c>
      <c r="Q76" s="155"/>
      <c r="R76" s="147"/>
    </row>
    <row r="77" ht="12" customHeight="1" spans="1:18">
      <c r="A77" s="144"/>
      <c r="B77" s="161" t="s">
        <v>169</v>
      </c>
      <c r="C77" s="162" t="s">
        <v>123</v>
      </c>
      <c r="D77" s="69">
        <f>'BoM AE'!O24</f>
        <v>0</v>
      </c>
      <c r="E77" s="69"/>
      <c r="F77" s="97"/>
      <c r="G77" s="97"/>
      <c r="H77" s="69">
        <f t="shared" si="7"/>
        <v>0</v>
      </c>
      <c r="I77" s="69">
        <f t="shared" si="7"/>
        <v>0</v>
      </c>
      <c r="J77" s="69"/>
      <c r="K77" s="69">
        <f t="shared" si="5"/>
        <v>0</v>
      </c>
      <c r="L77" s="69">
        <f t="shared" si="6"/>
        <v>0</v>
      </c>
      <c r="M77" s="133"/>
      <c r="N77" s="135">
        <v>200001048</v>
      </c>
      <c r="O77" s="136" t="s">
        <v>170</v>
      </c>
      <c r="P77" s="96" t="s">
        <v>32</v>
      </c>
      <c r="Q77" s="155"/>
      <c r="R77" s="147"/>
    </row>
    <row r="78" ht="12" customHeight="1" spans="1:18">
      <c r="A78" s="144"/>
      <c r="B78" s="161" t="s">
        <v>171</v>
      </c>
      <c r="C78" s="162" t="s">
        <v>123</v>
      </c>
      <c r="D78" s="70">
        <f>'BoM AE'!O25</f>
        <v>0</v>
      </c>
      <c r="E78" s="69"/>
      <c r="F78" s="97"/>
      <c r="G78" s="97"/>
      <c r="H78" s="69">
        <f t="shared" si="7"/>
        <v>0</v>
      </c>
      <c r="I78" s="69">
        <f t="shared" si="7"/>
        <v>0</v>
      </c>
      <c r="J78" s="69"/>
      <c r="K78" s="69">
        <f t="shared" si="5"/>
        <v>0</v>
      </c>
      <c r="L78" s="69">
        <f t="shared" si="6"/>
        <v>0</v>
      </c>
      <c r="M78" s="133"/>
      <c r="N78" s="177">
        <v>200000159</v>
      </c>
      <c r="O78" s="161" t="s">
        <v>172</v>
      </c>
      <c r="P78" s="96" t="s">
        <v>32</v>
      </c>
      <c r="Q78" s="155"/>
      <c r="R78" s="147"/>
    </row>
    <row r="79" ht="12" customHeight="1" spans="1:18">
      <c r="A79" s="144"/>
      <c r="B79" s="161" t="s">
        <v>173</v>
      </c>
      <c r="C79" s="162" t="s">
        <v>123</v>
      </c>
      <c r="D79" s="69"/>
      <c r="E79" s="69"/>
      <c r="F79" s="97"/>
      <c r="G79" s="97"/>
      <c r="H79" s="69" t="s">
        <v>174</v>
      </c>
      <c r="I79" s="69" t="s">
        <v>174</v>
      </c>
      <c r="J79" s="69"/>
      <c r="K79" s="69"/>
      <c r="L79" s="69"/>
      <c r="M79" s="133"/>
      <c r="N79" s="177">
        <v>200000174</v>
      </c>
      <c r="O79" s="161" t="s">
        <v>175</v>
      </c>
      <c r="P79" s="96"/>
      <c r="Q79" s="155"/>
      <c r="R79" s="147"/>
    </row>
    <row r="80" ht="12" customHeight="1" spans="1:18">
      <c r="A80" s="144"/>
      <c r="B80" s="161" t="s">
        <v>176</v>
      </c>
      <c r="C80" s="162" t="s">
        <v>123</v>
      </c>
      <c r="D80" s="69"/>
      <c r="E80" s="69"/>
      <c r="F80" s="97"/>
      <c r="G80" s="97"/>
      <c r="H80" s="69">
        <f t="shared" ref="H80:I85" si="8">D80*F80</f>
        <v>0</v>
      </c>
      <c r="I80" s="69">
        <f t="shared" si="8"/>
        <v>0</v>
      </c>
      <c r="J80" s="69"/>
      <c r="K80" s="69">
        <f t="shared" ref="K80:K85" si="9">D80+E80</f>
        <v>0</v>
      </c>
      <c r="L80" s="69">
        <f t="shared" ref="L80:L85" si="10">F80+G80</f>
        <v>0</v>
      </c>
      <c r="M80" s="133"/>
      <c r="N80" s="177">
        <v>200000179</v>
      </c>
      <c r="O80" s="161" t="s">
        <v>177</v>
      </c>
      <c r="P80" s="96" t="s">
        <v>32</v>
      </c>
      <c r="Q80" s="155"/>
      <c r="R80" s="147"/>
    </row>
    <row r="81" ht="12" customHeight="1" spans="1:18">
      <c r="A81" s="144"/>
      <c r="B81" s="161" t="s">
        <v>178</v>
      </c>
      <c r="C81" s="162" t="s">
        <v>123</v>
      </c>
      <c r="D81" s="70">
        <f>'BoM AE'!O28</f>
        <v>0</v>
      </c>
      <c r="E81" s="69"/>
      <c r="F81" s="97"/>
      <c r="G81" s="97"/>
      <c r="H81" s="69">
        <f t="shared" si="8"/>
        <v>0</v>
      </c>
      <c r="I81" s="69">
        <f t="shared" si="8"/>
        <v>0</v>
      </c>
      <c r="J81" s="69"/>
      <c r="K81" s="69">
        <f t="shared" si="9"/>
        <v>0</v>
      </c>
      <c r="L81" s="69">
        <f t="shared" si="10"/>
        <v>0</v>
      </c>
      <c r="M81" s="133"/>
      <c r="N81" s="135">
        <v>200000186</v>
      </c>
      <c r="O81" s="136" t="s">
        <v>179</v>
      </c>
      <c r="P81" s="96" t="s">
        <v>32</v>
      </c>
      <c r="Q81" s="155"/>
      <c r="R81" s="147"/>
    </row>
    <row r="82" ht="12" customHeight="1" spans="1:18">
      <c r="A82" s="144"/>
      <c r="B82" s="161" t="s">
        <v>180</v>
      </c>
      <c r="C82" s="162" t="s">
        <v>123</v>
      </c>
      <c r="D82" s="69"/>
      <c r="E82" s="69"/>
      <c r="F82" s="97"/>
      <c r="G82" s="97"/>
      <c r="H82" s="69">
        <f t="shared" si="8"/>
        <v>0</v>
      </c>
      <c r="I82" s="69">
        <f t="shared" si="8"/>
        <v>0</v>
      </c>
      <c r="J82" s="69"/>
      <c r="K82" s="69">
        <f t="shared" si="9"/>
        <v>0</v>
      </c>
      <c r="L82" s="69">
        <f t="shared" si="10"/>
        <v>0</v>
      </c>
      <c r="M82" s="133"/>
      <c r="N82" s="177">
        <v>200000155</v>
      </c>
      <c r="O82" s="161" t="s">
        <v>181</v>
      </c>
      <c r="P82" s="96" t="s">
        <v>32</v>
      </c>
      <c r="Q82" s="155"/>
      <c r="R82" s="147"/>
    </row>
    <row r="83" ht="12" customHeight="1" spans="1:18">
      <c r="A83" s="144"/>
      <c r="B83" s="161" t="s">
        <v>182</v>
      </c>
      <c r="C83" s="162" t="s">
        <v>123</v>
      </c>
      <c r="D83" s="70">
        <f>'BoM AE'!O30</f>
        <v>0</v>
      </c>
      <c r="E83" s="69"/>
      <c r="F83" s="97"/>
      <c r="G83" s="97"/>
      <c r="H83" s="69">
        <f t="shared" si="8"/>
        <v>0</v>
      </c>
      <c r="I83" s="69">
        <f t="shared" si="8"/>
        <v>0</v>
      </c>
      <c r="J83" s="69"/>
      <c r="K83" s="69">
        <f t="shared" si="9"/>
        <v>0</v>
      </c>
      <c r="L83" s="69">
        <f t="shared" si="10"/>
        <v>0</v>
      </c>
      <c r="M83" s="133"/>
      <c r="N83" s="145">
        <v>200000180</v>
      </c>
      <c r="O83" s="178" t="s">
        <v>183</v>
      </c>
      <c r="P83" s="179" t="s">
        <v>32</v>
      </c>
      <c r="Q83" s="188"/>
      <c r="R83" s="147"/>
    </row>
    <row r="84" ht="12" customHeight="1" spans="1:18">
      <c r="A84" s="144"/>
      <c r="B84" s="163" t="s">
        <v>184</v>
      </c>
      <c r="C84" s="162" t="s">
        <v>123</v>
      </c>
      <c r="D84" s="69"/>
      <c r="E84" s="69"/>
      <c r="F84" s="97"/>
      <c r="G84" s="97"/>
      <c r="H84" s="69">
        <f t="shared" si="8"/>
        <v>0</v>
      </c>
      <c r="I84" s="69">
        <f t="shared" si="8"/>
        <v>0</v>
      </c>
      <c r="J84" s="69"/>
      <c r="K84" s="69">
        <f t="shared" si="9"/>
        <v>0</v>
      </c>
      <c r="L84" s="69">
        <f t="shared" si="10"/>
        <v>0</v>
      </c>
      <c r="M84" s="133"/>
      <c r="N84" s="180">
        <v>200001049</v>
      </c>
      <c r="O84" s="181" t="s">
        <v>185</v>
      </c>
      <c r="P84" s="182" t="s">
        <v>32</v>
      </c>
      <c r="Q84" s="189"/>
      <c r="R84" s="190"/>
    </row>
    <row r="85" ht="12" customHeight="1" spans="1:18">
      <c r="A85" s="144"/>
      <c r="B85" s="163" t="s">
        <v>186</v>
      </c>
      <c r="C85" s="162" t="s">
        <v>123</v>
      </c>
      <c r="D85" s="69">
        <f>'BoM AE'!O32</f>
        <v>0</v>
      </c>
      <c r="E85" s="69"/>
      <c r="F85" s="97"/>
      <c r="G85" s="97"/>
      <c r="H85" s="69">
        <f t="shared" si="8"/>
        <v>0</v>
      </c>
      <c r="I85" s="69">
        <f t="shared" si="8"/>
        <v>0</v>
      </c>
      <c r="J85" s="69"/>
      <c r="K85" s="69">
        <f t="shared" si="9"/>
        <v>0</v>
      </c>
      <c r="L85" s="69">
        <f t="shared" si="10"/>
        <v>0</v>
      </c>
      <c r="M85" s="133"/>
      <c r="N85" s="180">
        <v>200000164</v>
      </c>
      <c r="O85" s="181" t="s">
        <v>187</v>
      </c>
      <c r="P85" s="182" t="s">
        <v>32</v>
      </c>
      <c r="Q85" s="189"/>
      <c r="R85" s="190"/>
    </row>
    <row r="86" ht="12" customHeight="1" spans="1:18">
      <c r="A86" s="144"/>
      <c r="B86" s="163" t="s">
        <v>188</v>
      </c>
      <c r="C86" s="162" t="s">
        <v>123</v>
      </c>
      <c r="D86" s="69"/>
      <c r="E86" s="69"/>
      <c r="F86" s="97"/>
      <c r="G86" s="97"/>
      <c r="H86" s="69" t="s">
        <v>174</v>
      </c>
      <c r="I86" s="69" t="s">
        <v>174</v>
      </c>
      <c r="J86" s="69"/>
      <c r="K86" s="69"/>
      <c r="L86" s="69"/>
      <c r="M86" s="133"/>
      <c r="N86" s="180">
        <v>200000178</v>
      </c>
      <c r="O86" s="181" t="s">
        <v>189</v>
      </c>
      <c r="P86" s="182"/>
      <c r="Q86" s="189"/>
      <c r="R86" s="190"/>
    </row>
    <row r="87" ht="12" customHeight="1" spans="1:18">
      <c r="A87" s="144"/>
      <c r="B87" s="163" t="s">
        <v>190</v>
      </c>
      <c r="C87" s="162" t="s">
        <v>123</v>
      </c>
      <c r="D87" s="69"/>
      <c r="E87" s="69"/>
      <c r="F87" s="97"/>
      <c r="G87" s="97"/>
      <c r="H87" s="69">
        <f>D87*F87</f>
        <v>0</v>
      </c>
      <c r="I87" s="69">
        <f>E87*G87</f>
        <v>0</v>
      </c>
      <c r="J87" s="69"/>
      <c r="K87" s="69">
        <f>D87+E87</f>
        <v>0</v>
      </c>
      <c r="L87" s="69">
        <f>F87+G87</f>
        <v>0</v>
      </c>
      <c r="M87" s="133"/>
      <c r="N87" s="180">
        <v>200000176</v>
      </c>
      <c r="O87" s="181" t="s">
        <v>191</v>
      </c>
      <c r="P87" s="182" t="s">
        <v>32</v>
      </c>
      <c r="Q87" s="189"/>
      <c r="R87" s="190"/>
    </row>
    <row r="88" ht="12" customHeight="1" spans="1:18">
      <c r="A88" s="144"/>
      <c r="B88" s="163" t="s">
        <v>192</v>
      </c>
      <c r="C88" s="162" t="s">
        <v>123</v>
      </c>
      <c r="D88" s="69">
        <f>'BoM AE'!O35</f>
        <v>0</v>
      </c>
      <c r="E88" s="69"/>
      <c r="F88" s="97"/>
      <c r="G88" s="97"/>
      <c r="H88" s="69"/>
      <c r="I88" s="69"/>
      <c r="J88" s="69"/>
      <c r="K88" s="69"/>
      <c r="L88" s="69"/>
      <c r="M88" s="133"/>
      <c r="N88" s="180">
        <v>200000158</v>
      </c>
      <c r="O88" s="181" t="s">
        <v>193</v>
      </c>
      <c r="P88" s="182" t="s">
        <v>32</v>
      </c>
      <c r="Q88" s="189"/>
      <c r="R88" s="190"/>
    </row>
    <row r="89" ht="12" customHeight="1" spans="1:18">
      <c r="A89" s="144"/>
      <c r="B89" s="163" t="s">
        <v>194</v>
      </c>
      <c r="C89" s="162" t="s">
        <v>123</v>
      </c>
      <c r="D89" s="69"/>
      <c r="E89" s="69"/>
      <c r="F89" s="97"/>
      <c r="G89" s="97"/>
      <c r="H89" s="69"/>
      <c r="I89" s="69"/>
      <c r="J89" s="69"/>
      <c r="K89" s="69"/>
      <c r="L89" s="69"/>
      <c r="M89" s="133"/>
      <c r="N89" s="180">
        <v>200000156</v>
      </c>
      <c r="O89" s="181" t="s">
        <v>195</v>
      </c>
      <c r="P89" s="182" t="s">
        <v>32</v>
      </c>
      <c r="Q89" s="189"/>
      <c r="R89" s="190"/>
    </row>
    <row r="90" ht="12" customHeight="1" spans="1:18">
      <c r="A90" s="66" t="s">
        <v>196</v>
      </c>
      <c r="B90" s="106" t="s">
        <v>197</v>
      </c>
      <c r="C90" s="68" t="s">
        <v>198</v>
      </c>
      <c r="D90" s="69"/>
      <c r="E90" s="69"/>
      <c r="F90" s="71"/>
      <c r="G90" s="97"/>
      <c r="H90" s="69">
        <f t="shared" ref="H90:I92" si="11">D90*F90</f>
        <v>0</v>
      </c>
      <c r="I90" s="69">
        <f t="shared" si="11"/>
        <v>0</v>
      </c>
      <c r="J90" s="69"/>
      <c r="K90" s="69">
        <f>D90+E90</f>
        <v>0</v>
      </c>
      <c r="L90" s="69">
        <f>F90+G90</f>
        <v>0</v>
      </c>
      <c r="M90" s="133"/>
      <c r="N90" s="68">
        <v>200002408</v>
      </c>
      <c r="O90" s="106" t="s">
        <v>199</v>
      </c>
      <c r="P90" s="96" t="s">
        <v>32</v>
      </c>
      <c r="Q90" s="155"/>
      <c r="R90" s="147"/>
    </row>
    <row r="91" ht="12" customHeight="1" spans="1:18">
      <c r="A91" s="66" t="s">
        <v>200</v>
      </c>
      <c r="B91" s="95" t="s">
        <v>201</v>
      </c>
      <c r="C91" s="162" t="s">
        <v>198</v>
      </c>
      <c r="D91" s="69"/>
      <c r="E91" s="69"/>
      <c r="F91" s="97"/>
      <c r="G91" s="97"/>
      <c r="H91" s="69">
        <f t="shared" si="11"/>
        <v>0</v>
      </c>
      <c r="I91" s="69">
        <f t="shared" si="11"/>
        <v>0</v>
      </c>
      <c r="J91" s="69"/>
      <c r="K91" s="69">
        <f>D91+E91</f>
        <v>0</v>
      </c>
      <c r="L91" s="69">
        <f>F91+G91</f>
        <v>0</v>
      </c>
      <c r="M91" s="133"/>
      <c r="N91" s="135" t="s">
        <v>647</v>
      </c>
      <c r="O91" s="136" t="s">
        <v>202</v>
      </c>
      <c r="P91" s="96" t="s">
        <v>32</v>
      </c>
      <c r="Q91" s="155"/>
      <c r="R91" s="147"/>
    </row>
    <row r="92" ht="12" customHeight="1" spans="1:18">
      <c r="A92" s="66" t="s">
        <v>203</v>
      </c>
      <c r="B92" s="106" t="s">
        <v>204</v>
      </c>
      <c r="C92" s="68" t="s">
        <v>205</v>
      </c>
      <c r="D92" s="69"/>
      <c r="E92" s="70">
        <f>SUM('BoM AE'!O64,'BoM AE'!O65)</f>
        <v>0</v>
      </c>
      <c r="F92" s="97"/>
      <c r="G92" s="71"/>
      <c r="H92" s="69">
        <f t="shared" si="11"/>
        <v>0</v>
      </c>
      <c r="I92" s="69">
        <f t="shared" si="11"/>
        <v>0</v>
      </c>
      <c r="J92" s="69"/>
      <c r="K92" s="69">
        <f>D92+E92</f>
        <v>0</v>
      </c>
      <c r="L92" s="69">
        <f>F92+G92</f>
        <v>0</v>
      </c>
      <c r="M92" s="133"/>
      <c r="N92" s="68">
        <v>500000510</v>
      </c>
      <c r="O92" s="106" t="s">
        <v>206</v>
      </c>
      <c r="P92" s="96" t="s">
        <v>27</v>
      </c>
      <c r="Q92" s="155"/>
      <c r="R92" s="147"/>
    </row>
    <row r="93" ht="12" customHeight="1" spans="1:18">
      <c r="A93" s="66"/>
      <c r="B93" s="106" t="s">
        <v>207</v>
      </c>
      <c r="C93" s="68" t="s">
        <v>198</v>
      </c>
      <c r="D93" s="69"/>
      <c r="E93" s="69"/>
      <c r="F93" s="97"/>
      <c r="G93" s="71"/>
      <c r="H93" s="69">
        <v>0</v>
      </c>
      <c r="I93" s="69">
        <v>0</v>
      </c>
      <c r="J93" s="69"/>
      <c r="K93" s="69">
        <v>0</v>
      </c>
      <c r="L93" s="69">
        <v>0</v>
      </c>
      <c r="M93" s="133"/>
      <c r="N93" s="68">
        <v>200000232</v>
      </c>
      <c r="O93" s="106" t="s">
        <v>207</v>
      </c>
      <c r="P93" s="96" t="s">
        <v>32</v>
      </c>
      <c r="Q93" s="155" t="s">
        <v>208</v>
      </c>
      <c r="R93" s="147"/>
    </row>
    <row r="94" ht="12" customHeight="1" spans="1:18">
      <c r="A94" s="66" t="s">
        <v>209</v>
      </c>
      <c r="B94" s="106" t="s">
        <v>210</v>
      </c>
      <c r="C94" s="68" t="s">
        <v>198</v>
      </c>
      <c r="D94" s="70">
        <f>'BoM AE'!O60</f>
        <v>0</v>
      </c>
      <c r="E94" s="69"/>
      <c r="F94" s="71"/>
      <c r="G94" s="108"/>
      <c r="H94" s="69">
        <f t="shared" ref="H94:I104" si="12">D94*F94</f>
        <v>0</v>
      </c>
      <c r="I94" s="69">
        <f t="shared" si="12"/>
        <v>0</v>
      </c>
      <c r="J94" s="69"/>
      <c r="K94" s="69">
        <f t="shared" ref="K94:K104" si="13">D94+E94</f>
        <v>0</v>
      </c>
      <c r="L94" s="69">
        <f t="shared" ref="L94:L104" si="14">F94+G94</f>
        <v>0</v>
      </c>
      <c r="M94" s="133"/>
      <c r="N94" s="68">
        <v>200000290</v>
      </c>
      <c r="O94" s="106" t="s">
        <v>211</v>
      </c>
      <c r="P94" s="96" t="s">
        <v>32</v>
      </c>
      <c r="Q94" s="155"/>
      <c r="R94" s="147"/>
    </row>
    <row r="95" ht="12" customHeight="1" spans="1:18">
      <c r="A95" s="66" t="s">
        <v>212</v>
      </c>
      <c r="B95" s="106" t="s">
        <v>213</v>
      </c>
      <c r="C95" s="68" t="s">
        <v>198</v>
      </c>
      <c r="D95" s="69"/>
      <c r="E95" s="69"/>
      <c r="F95" s="71"/>
      <c r="G95" s="108"/>
      <c r="H95" s="69">
        <f t="shared" si="12"/>
        <v>0</v>
      </c>
      <c r="I95" s="69">
        <f t="shared" si="12"/>
        <v>0</v>
      </c>
      <c r="J95" s="69"/>
      <c r="K95" s="69">
        <f t="shared" si="13"/>
        <v>0</v>
      </c>
      <c r="L95" s="69">
        <f t="shared" si="14"/>
        <v>0</v>
      </c>
      <c r="M95" s="133"/>
      <c r="N95" s="68">
        <v>200000273</v>
      </c>
      <c r="O95" s="106" t="s">
        <v>214</v>
      </c>
      <c r="P95" s="96" t="s">
        <v>32</v>
      </c>
      <c r="Q95" s="155"/>
      <c r="R95" s="147"/>
    </row>
    <row r="96" ht="12" customHeight="1" spans="1:18">
      <c r="A96" s="66" t="s">
        <v>215</v>
      </c>
      <c r="B96" s="106" t="s">
        <v>216</v>
      </c>
      <c r="C96" s="68" t="s">
        <v>198</v>
      </c>
      <c r="D96" s="69"/>
      <c r="E96" s="69"/>
      <c r="F96" s="71"/>
      <c r="G96" s="108"/>
      <c r="H96" s="69">
        <f t="shared" si="12"/>
        <v>0</v>
      </c>
      <c r="I96" s="69">
        <f t="shared" si="12"/>
        <v>0</v>
      </c>
      <c r="J96" s="69"/>
      <c r="K96" s="69">
        <f t="shared" si="13"/>
        <v>0</v>
      </c>
      <c r="L96" s="69">
        <f t="shared" si="14"/>
        <v>0</v>
      </c>
      <c r="M96" s="133"/>
      <c r="N96" s="68">
        <v>200000288</v>
      </c>
      <c r="O96" s="106" t="s">
        <v>217</v>
      </c>
      <c r="P96" s="96" t="s">
        <v>32</v>
      </c>
      <c r="Q96" s="155"/>
      <c r="R96" s="147"/>
    </row>
    <row r="97" ht="12" customHeight="1" spans="1:18">
      <c r="A97" s="66" t="s">
        <v>218</v>
      </c>
      <c r="B97" s="106" t="s">
        <v>219</v>
      </c>
      <c r="C97" s="68" t="s">
        <v>198</v>
      </c>
      <c r="D97" s="70">
        <f>'BoM AE'!O61</f>
        <v>0</v>
      </c>
      <c r="E97" s="69"/>
      <c r="F97" s="71"/>
      <c r="G97" s="108"/>
      <c r="H97" s="69">
        <f t="shared" si="12"/>
        <v>0</v>
      </c>
      <c r="I97" s="69">
        <f t="shared" si="12"/>
        <v>0</v>
      </c>
      <c r="J97" s="69"/>
      <c r="K97" s="69">
        <f t="shared" si="13"/>
        <v>0</v>
      </c>
      <c r="L97" s="69">
        <f t="shared" si="14"/>
        <v>0</v>
      </c>
      <c r="M97" s="133"/>
      <c r="N97" s="68">
        <v>500001742</v>
      </c>
      <c r="O97" s="106" t="s">
        <v>220</v>
      </c>
      <c r="P97" s="96" t="s">
        <v>32</v>
      </c>
      <c r="Q97" s="155"/>
      <c r="R97" s="147"/>
    </row>
    <row r="98" ht="12" customHeight="1" spans="1:18">
      <c r="A98" s="66" t="s">
        <v>221</v>
      </c>
      <c r="B98" s="106" t="s">
        <v>222</v>
      </c>
      <c r="C98" s="68" t="s">
        <v>198</v>
      </c>
      <c r="D98" s="69"/>
      <c r="E98" s="69"/>
      <c r="F98" s="97"/>
      <c r="G98" s="97"/>
      <c r="H98" s="69">
        <f t="shared" si="12"/>
        <v>0</v>
      </c>
      <c r="I98" s="69">
        <f t="shared" si="12"/>
        <v>0</v>
      </c>
      <c r="J98" s="69"/>
      <c r="K98" s="69">
        <f t="shared" si="13"/>
        <v>0</v>
      </c>
      <c r="L98" s="69">
        <f t="shared" si="14"/>
        <v>0</v>
      </c>
      <c r="M98" s="133"/>
      <c r="N98" s="68">
        <v>200000802</v>
      </c>
      <c r="O98" s="106" t="s">
        <v>223</v>
      </c>
      <c r="P98" s="96" t="s">
        <v>32</v>
      </c>
      <c r="Q98" s="155"/>
      <c r="R98" s="147"/>
    </row>
    <row r="99" ht="12" customHeight="1" spans="1:18">
      <c r="A99" s="66" t="s">
        <v>224</v>
      </c>
      <c r="B99" s="106" t="s">
        <v>225</v>
      </c>
      <c r="C99" s="68" t="s">
        <v>42</v>
      </c>
      <c r="D99" s="69"/>
      <c r="E99" s="69"/>
      <c r="F99" s="97"/>
      <c r="G99" s="97"/>
      <c r="H99" s="69">
        <f t="shared" si="12"/>
        <v>0</v>
      </c>
      <c r="I99" s="69">
        <f t="shared" si="12"/>
        <v>0</v>
      </c>
      <c r="J99" s="69"/>
      <c r="K99" s="69">
        <f t="shared" si="13"/>
        <v>0</v>
      </c>
      <c r="L99" s="69">
        <f t="shared" si="14"/>
        <v>0</v>
      </c>
      <c r="M99" s="133"/>
      <c r="N99" s="68"/>
      <c r="O99" s="106"/>
      <c r="P99" s="96"/>
      <c r="Q99" s="155"/>
      <c r="R99" s="147"/>
    </row>
    <row r="100" ht="12" customHeight="1" spans="1:18">
      <c r="A100" s="66"/>
      <c r="B100" s="106" t="s">
        <v>226</v>
      </c>
      <c r="C100" s="68" t="s">
        <v>42</v>
      </c>
      <c r="D100" s="69"/>
      <c r="E100" s="69"/>
      <c r="F100" s="97"/>
      <c r="G100" s="97"/>
      <c r="H100" s="69">
        <f t="shared" si="12"/>
        <v>0</v>
      </c>
      <c r="I100" s="69">
        <f t="shared" si="12"/>
        <v>0</v>
      </c>
      <c r="J100" s="69"/>
      <c r="K100" s="69">
        <f t="shared" si="13"/>
        <v>0</v>
      </c>
      <c r="L100" s="69">
        <f t="shared" si="14"/>
        <v>0</v>
      </c>
      <c r="M100" s="133"/>
      <c r="N100" s="135" t="s">
        <v>648</v>
      </c>
      <c r="O100" s="136" t="s">
        <v>227</v>
      </c>
      <c r="P100" s="96" t="s">
        <v>32</v>
      </c>
      <c r="Q100" s="155"/>
      <c r="R100" s="147"/>
    </row>
    <row r="101" ht="12" customHeight="1" spans="1:18">
      <c r="A101" s="66"/>
      <c r="B101" s="106" t="s">
        <v>228</v>
      </c>
      <c r="C101" s="66" t="s">
        <v>72</v>
      </c>
      <c r="D101" s="69"/>
      <c r="E101" s="69"/>
      <c r="F101" s="86"/>
      <c r="G101" s="86"/>
      <c r="H101" s="132">
        <f t="shared" si="12"/>
        <v>0</v>
      </c>
      <c r="I101" s="132">
        <f t="shared" si="12"/>
        <v>0</v>
      </c>
      <c r="J101" s="132"/>
      <c r="K101" s="69">
        <f t="shared" si="13"/>
        <v>0</v>
      </c>
      <c r="L101" s="69">
        <f t="shared" si="14"/>
        <v>0</v>
      </c>
      <c r="M101" s="133"/>
      <c r="N101" s="135" t="s">
        <v>649</v>
      </c>
      <c r="O101" s="136" t="s">
        <v>229</v>
      </c>
      <c r="P101" s="96" t="s">
        <v>32</v>
      </c>
      <c r="Q101" s="155"/>
      <c r="R101" s="147"/>
    </row>
    <row r="102" ht="12" customHeight="1" spans="1:18">
      <c r="A102" s="66"/>
      <c r="B102" s="164" t="s">
        <v>230</v>
      </c>
      <c r="C102" s="66" t="s">
        <v>72</v>
      </c>
      <c r="D102" s="69"/>
      <c r="E102" s="69"/>
      <c r="F102" s="86"/>
      <c r="G102" s="86"/>
      <c r="H102" s="132">
        <f t="shared" si="12"/>
        <v>0</v>
      </c>
      <c r="I102" s="132">
        <f t="shared" si="12"/>
        <v>0</v>
      </c>
      <c r="J102" s="132"/>
      <c r="K102" s="69">
        <f t="shared" si="13"/>
        <v>0</v>
      </c>
      <c r="L102" s="69">
        <f t="shared" si="14"/>
        <v>0</v>
      </c>
      <c r="M102" s="133"/>
      <c r="N102" s="135" t="s">
        <v>650</v>
      </c>
      <c r="O102" s="136" t="s">
        <v>231</v>
      </c>
      <c r="P102" s="96" t="s">
        <v>27</v>
      </c>
      <c r="Q102" s="191"/>
      <c r="R102" s="192"/>
    </row>
    <row r="103" ht="12" customHeight="1" spans="1:18">
      <c r="A103" s="66"/>
      <c r="B103" s="164" t="s">
        <v>232</v>
      </c>
      <c r="C103" s="66" t="s">
        <v>72</v>
      </c>
      <c r="D103" s="69"/>
      <c r="E103" s="69"/>
      <c r="F103" s="96"/>
      <c r="G103" s="96"/>
      <c r="H103" s="132">
        <f t="shared" si="12"/>
        <v>0</v>
      </c>
      <c r="I103" s="132">
        <f t="shared" si="12"/>
        <v>0</v>
      </c>
      <c r="J103" s="132"/>
      <c r="K103" s="69">
        <f t="shared" si="13"/>
        <v>0</v>
      </c>
      <c r="L103" s="123">
        <f t="shared" si="14"/>
        <v>0</v>
      </c>
      <c r="M103" s="133"/>
      <c r="N103" s="135" t="s">
        <v>651</v>
      </c>
      <c r="O103" s="136" t="s">
        <v>233</v>
      </c>
      <c r="P103" s="96" t="s">
        <v>27</v>
      </c>
      <c r="Q103" s="191"/>
      <c r="R103" s="192"/>
    </row>
    <row r="104" ht="12" customHeight="1" spans="1:18">
      <c r="A104" s="66"/>
      <c r="B104" s="164" t="s">
        <v>234</v>
      </c>
      <c r="C104" s="66" t="s">
        <v>72</v>
      </c>
      <c r="D104" s="69"/>
      <c r="E104" s="69"/>
      <c r="F104" s="96"/>
      <c r="G104" s="96"/>
      <c r="H104" s="132">
        <f t="shared" si="12"/>
        <v>0</v>
      </c>
      <c r="I104" s="132">
        <f t="shared" si="12"/>
        <v>0</v>
      </c>
      <c r="J104" s="132"/>
      <c r="K104" s="69">
        <f t="shared" si="13"/>
        <v>0</v>
      </c>
      <c r="L104" s="123">
        <f t="shared" si="14"/>
        <v>0</v>
      </c>
      <c r="M104" s="133"/>
      <c r="N104" s="135" t="s">
        <v>652</v>
      </c>
      <c r="O104" s="136" t="s">
        <v>235</v>
      </c>
      <c r="P104" s="96" t="s">
        <v>27</v>
      </c>
      <c r="Q104" s="191"/>
      <c r="R104" s="192"/>
    </row>
    <row r="105" s="37" customFormat="1" spans="1:28">
      <c r="A105" s="165" t="s">
        <v>236</v>
      </c>
      <c r="B105" s="166"/>
      <c r="C105" s="166"/>
      <c r="D105" s="78"/>
      <c r="E105" s="78"/>
      <c r="F105" s="166"/>
      <c r="G105" s="166"/>
      <c r="H105" s="80">
        <f>SUM(H15:H104)</f>
        <v>0</v>
      </c>
      <c r="I105" s="80">
        <f>SUM(I15:I104)</f>
        <v>0</v>
      </c>
      <c r="J105" s="80">
        <f>H105+I105</f>
        <v>0</v>
      </c>
      <c r="K105" s="80"/>
      <c r="L105" s="80"/>
      <c r="M105" s="80"/>
      <c r="N105" s="183"/>
      <c r="O105" s="183"/>
      <c r="P105" s="80"/>
      <c r="Q105" s="156"/>
      <c r="R105" s="157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spans="1:18">
      <c r="A106" s="167"/>
      <c r="B106" s="168"/>
      <c r="C106" s="169"/>
      <c r="D106" s="85"/>
      <c r="E106" s="85"/>
      <c r="F106" s="169"/>
      <c r="G106" s="169"/>
      <c r="H106" s="170"/>
      <c r="I106" s="170"/>
      <c r="J106" s="170"/>
      <c r="K106" s="170"/>
      <c r="L106" s="170"/>
      <c r="M106" s="184"/>
      <c r="N106" s="185"/>
      <c r="O106" s="185"/>
      <c r="P106" s="186"/>
      <c r="Q106" s="155"/>
      <c r="R106" s="147"/>
    </row>
    <row r="107" s="36" customFormat="1" spans="1:28">
      <c r="A107" s="61">
        <v>2.2</v>
      </c>
      <c r="B107" s="171" t="s">
        <v>237</v>
      </c>
      <c r="C107" s="63"/>
      <c r="D107" s="93"/>
      <c r="E107" s="93"/>
      <c r="F107" s="63"/>
      <c r="G107" s="63"/>
      <c r="H107" s="63"/>
      <c r="I107" s="63"/>
      <c r="J107" s="122"/>
      <c r="K107" s="63"/>
      <c r="L107" s="63"/>
      <c r="M107" s="65"/>
      <c r="N107" s="122"/>
      <c r="O107" s="122"/>
      <c r="P107" s="65"/>
      <c r="Q107" s="155"/>
      <c r="R107" s="147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ht="27.6" spans="1:18">
      <c r="A108" s="66" t="s">
        <v>39</v>
      </c>
      <c r="B108" s="172" t="s">
        <v>238</v>
      </c>
      <c r="C108" s="68"/>
      <c r="D108" s="69"/>
      <c r="E108" s="69"/>
      <c r="F108" s="86"/>
      <c r="G108" s="86"/>
      <c r="H108" s="96"/>
      <c r="I108" s="96"/>
      <c r="J108" s="96"/>
      <c r="K108" s="69">
        <f t="shared" ref="K108:K119" si="15">D108+E108</f>
        <v>0</v>
      </c>
      <c r="L108" s="123">
        <f t="shared" ref="L108:L119" si="16">F108+G108</f>
        <v>0</v>
      </c>
      <c r="M108" s="133"/>
      <c r="N108" s="144"/>
      <c r="O108" s="144"/>
      <c r="P108" s="133"/>
      <c r="Q108" s="155"/>
      <c r="R108" s="147"/>
    </row>
    <row r="109" spans="1:18">
      <c r="A109" s="66"/>
      <c r="B109" s="173" t="s">
        <v>239</v>
      </c>
      <c r="C109" s="68" t="s">
        <v>42</v>
      </c>
      <c r="D109" s="69"/>
      <c r="E109" s="69"/>
      <c r="F109" s="86"/>
      <c r="G109" s="86"/>
      <c r="H109" s="86">
        <f t="shared" ref="H109:I119" si="17">D109*F109</f>
        <v>0</v>
      </c>
      <c r="I109" s="86">
        <f t="shared" si="17"/>
        <v>0</v>
      </c>
      <c r="J109" s="86"/>
      <c r="K109" s="69">
        <f t="shared" si="15"/>
        <v>0</v>
      </c>
      <c r="L109" s="123">
        <f t="shared" si="16"/>
        <v>0</v>
      </c>
      <c r="M109" s="133"/>
      <c r="N109" s="144">
        <v>500002115</v>
      </c>
      <c r="O109" s="187" t="s">
        <v>240</v>
      </c>
      <c r="P109" s="96" t="s">
        <v>27</v>
      </c>
      <c r="Q109" s="155"/>
      <c r="R109" s="147"/>
    </row>
    <row r="110" spans="1:18">
      <c r="A110" s="66"/>
      <c r="B110" s="174" t="s">
        <v>241</v>
      </c>
      <c r="C110" s="68" t="s">
        <v>42</v>
      </c>
      <c r="D110" s="69"/>
      <c r="E110" s="69"/>
      <c r="F110" s="86"/>
      <c r="G110" s="86"/>
      <c r="H110" s="86">
        <f t="shared" si="17"/>
        <v>0</v>
      </c>
      <c r="I110" s="86">
        <f t="shared" si="17"/>
        <v>0</v>
      </c>
      <c r="J110" s="86"/>
      <c r="K110" s="69">
        <f t="shared" si="15"/>
        <v>0</v>
      </c>
      <c r="L110" s="123">
        <f t="shared" si="16"/>
        <v>0</v>
      </c>
      <c r="M110" s="133"/>
      <c r="N110" s="144">
        <v>500002116</v>
      </c>
      <c r="O110" s="187" t="s">
        <v>242</v>
      </c>
      <c r="P110" s="96" t="s">
        <v>27</v>
      </c>
      <c r="Q110" s="155"/>
      <c r="R110" s="147"/>
    </row>
    <row r="111" ht="27.6" spans="1:18">
      <c r="A111" s="66" t="s">
        <v>96</v>
      </c>
      <c r="B111" s="174" t="s">
        <v>243</v>
      </c>
      <c r="C111" s="68"/>
      <c r="D111" s="69"/>
      <c r="E111" s="69"/>
      <c r="F111" s="86"/>
      <c r="G111" s="86"/>
      <c r="H111" s="86">
        <f t="shared" si="17"/>
        <v>0</v>
      </c>
      <c r="I111" s="86">
        <f t="shared" si="17"/>
        <v>0</v>
      </c>
      <c r="J111" s="86"/>
      <c r="K111" s="69">
        <f t="shared" si="15"/>
        <v>0</v>
      </c>
      <c r="L111" s="123">
        <f t="shared" si="16"/>
        <v>0</v>
      </c>
      <c r="M111" s="133"/>
      <c r="N111" s="144"/>
      <c r="O111" s="144"/>
      <c r="P111" s="133"/>
      <c r="Q111" s="155"/>
      <c r="R111" s="147"/>
    </row>
    <row r="112" spans="1:18">
      <c r="A112" s="66"/>
      <c r="B112" s="174" t="s">
        <v>244</v>
      </c>
      <c r="C112" s="68" t="s">
        <v>42</v>
      </c>
      <c r="D112" s="69"/>
      <c r="E112" s="69"/>
      <c r="F112" s="86"/>
      <c r="G112" s="86"/>
      <c r="H112" s="86">
        <f t="shared" si="17"/>
        <v>0</v>
      </c>
      <c r="I112" s="86">
        <f t="shared" si="17"/>
        <v>0</v>
      </c>
      <c r="J112" s="86"/>
      <c r="K112" s="69">
        <f t="shared" si="15"/>
        <v>0</v>
      </c>
      <c r="L112" s="123">
        <f t="shared" si="16"/>
        <v>0</v>
      </c>
      <c r="M112" s="133"/>
      <c r="N112" s="135" t="s">
        <v>653</v>
      </c>
      <c r="O112" s="136" t="s">
        <v>245</v>
      </c>
      <c r="P112" s="96" t="s">
        <v>27</v>
      </c>
      <c r="Q112" s="155"/>
      <c r="R112" s="147"/>
    </row>
    <row r="113" spans="1:18">
      <c r="A113" s="66"/>
      <c r="B113" s="174" t="s">
        <v>246</v>
      </c>
      <c r="C113" s="68" t="s">
        <v>42</v>
      </c>
      <c r="D113" s="69"/>
      <c r="E113" s="69"/>
      <c r="F113" s="86"/>
      <c r="G113" s="86"/>
      <c r="H113" s="86">
        <f t="shared" si="17"/>
        <v>0</v>
      </c>
      <c r="I113" s="86">
        <f t="shared" si="17"/>
        <v>0</v>
      </c>
      <c r="J113" s="86"/>
      <c r="K113" s="69">
        <f t="shared" si="15"/>
        <v>0</v>
      </c>
      <c r="L113" s="123">
        <f t="shared" si="16"/>
        <v>0</v>
      </c>
      <c r="M113" s="133"/>
      <c r="N113" s="135" t="s">
        <v>654</v>
      </c>
      <c r="O113" s="136" t="s">
        <v>247</v>
      </c>
      <c r="P113" s="96" t="s">
        <v>27</v>
      </c>
      <c r="Q113" s="155"/>
      <c r="R113" s="147"/>
    </row>
    <row r="114" spans="1:18">
      <c r="A114" s="66"/>
      <c r="B114" s="174" t="s">
        <v>248</v>
      </c>
      <c r="C114" s="68" t="s">
        <v>42</v>
      </c>
      <c r="D114" s="69"/>
      <c r="E114" s="69"/>
      <c r="F114" s="86"/>
      <c r="G114" s="86"/>
      <c r="H114" s="86">
        <f t="shared" si="17"/>
        <v>0</v>
      </c>
      <c r="I114" s="86">
        <f t="shared" si="17"/>
        <v>0</v>
      </c>
      <c r="J114" s="86"/>
      <c r="K114" s="69">
        <f t="shared" si="15"/>
        <v>0</v>
      </c>
      <c r="L114" s="123">
        <f t="shared" si="16"/>
        <v>0</v>
      </c>
      <c r="M114" s="133"/>
      <c r="N114" s="135" t="s">
        <v>655</v>
      </c>
      <c r="O114" s="136" t="s">
        <v>249</v>
      </c>
      <c r="P114" s="96" t="s">
        <v>27</v>
      </c>
      <c r="Q114" s="155"/>
      <c r="R114" s="147"/>
    </row>
    <row r="115" spans="1:18">
      <c r="A115" s="66"/>
      <c r="B115" s="174" t="s">
        <v>250</v>
      </c>
      <c r="C115" s="68" t="s">
        <v>42</v>
      </c>
      <c r="D115" s="69"/>
      <c r="E115" s="69"/>
      <c r="F115" s="86"/>
      <c r="G115" s="86"/>
      <c r="H115" s="86">
        <f t="shared" si="17"/>
        <v>0</v>
      </c>
      <c r="I115" s="86">
        <f t="shared" si="17"/>
        <v>0</v>
      </c>
      <c r="J115" s="86"/>
      <c r="K115" s="69">
        <f t="shared" si="15"/>
        <v>0</v>
      </c>
      <c r="L115" s="123">
        <f t="shared" si="16"/>
        <v>0</v>
      </c>
      <c r="M115" s="133"/>
      <c r="N115" s="135" t="s">
        <v>656</v>
      </c>
      <c r="O115" s="136" t="s">
        <v>251</v>
      </c>
      <c r="P115" s="96" t="s">
        <v>27</v>
      </c>
      <c r="Q115" s="155"/>
      <c r="R115" s="147"/>
    </row>
    <row r="116" spans="1:18">
      <c r="A116" s="66"/>
      <c r="B116" s="174" t="s">
        <v>252</v>
      </c>
      <c r="C116" s="68" t="s">
        <v>42</v>
      </c>
      <c r="D116" s="69"/>
      <c r="E116" s="69"/>
      <c r="F116" s="86"/>
      <c r="G116" s="86"/>
      <c r="H116" s="86">
        <f t="shared" si="17"/>
        <v>0</v>
      </c>
      <c r="I116" s="86">
        <f t="shared" si="17"/>
        <v>0</v>
      </c>
      <c r="J116" s="86"/>
      <c r="K116" s="69">
        <f t="shared" si="15"/>
        <v>0</v>
      </c>
      <c r="L116" s="123">
        <f t="shared" si="16"/>
        <v>0</v>
      </c>
      <c r="M116" s="133"/>
      <c r="N116" s="68">
        <v>500000879</v>
      </c>
      <c r="O116" s="187" t="s">
        <v>253</v>
      </c>
      <c r="P116" s="96" t="s">
        <v>27</v>
      </c>
      <c r="Q116" s="155"/>
      <c r="R116" s="147"/>
    </row>
    <row r="117" spans="1:18">
      <c r="A117" s="66"/>
      <c r="B117" s="174" t="s">
        <v>254</v>
      </c>
      <c r="C117" s="68" t="s">
        <v>42</v>
      </c>
      <c r="D117" s="69"/>
      <c r="E117" s="69"/>
      <c r="F117" s="86"/>
      <c r="G117" s="86"/>
      <c r="H117" s="86">
        <f t="shared" si="17"/>
        <v>0</v>
      </c>
      <c r="I117" s="86">
        <f t="shared" si="17"/>
        <v>0</v>
      </c>
      <c r="J117" s="86"/>
      <c r="K117" s="69">
        <f t="shared" si="15"/>
        <v>0</v>
      </c>
      <c r="L117" s="123">
        <f t="shared" si="16"/>
        <v>0</v>
      </c>
      <c r="M117" s="133"/>
      <c r="N117" s="135" t="s">
        <v>657</v>
      </c>
      <c r="O117" s="136" t="s">
        <v>255</v>
      </c>
      <c r="P117" s="96" t="s">
        <v>27</v>
      </c>
      <c r="Q117" s="155"/>
      <c r="R117" s="147"/>
    </row>
    <row r="118" spans="1:18">
      <c r="A118" s="66"/>
      <c r="B118" s="174" t="s">
        <v>256</v>
      </c>
      <c r="C118" s="68" t="s">
        <v>257</v>
      </c>
      <c r="D118" s="69"/>
      <c r="E118" s="69"/>
      <c r="F118" s="86"/>
      <c r="G118" s="86"/>
      <c r="H118" s="86">
        <f t="shared" si="17"/>
        <v>0</v>
      </c>
      <c r="I118" s="86">
        <f t="shared" si="17"/>
        <v>0</v>
      </c>
      <c r="J118" s="86"/>
      <c r="K118" s="69">
        <f t="shared" si="15"/>
        <v>0</v>
      </c>
      <c r="L118" s="123">
        <f t="shared" si="16"/>
        <v>0</v>
      </c>
      <c r="M118" s="133"/>
      <c r="N118" s="68">
        <v>200000399</v>
      </c>
      <c r="O118" s="187" t="s">
        <v>258</v>
      </c>
      <c r="P118" s="96" t="s">
        <v>27</v>
      </c>
      <c r="Q118" s="155"/>
      <c r="R118" s="147"/>
    </row>
    <row r="119" spans="1:18">
      <c r="A119" s="66"/>
      <c r="B119" s="174" t="s">
        <v>259</v>
      </c>
      <c r="C119" s="68" t="s">
        <v>42</v>
      </c>
      <c r="D119" s="69"/>
      <c r="E119" s="69"/>
      <c r="F119" s="86"/>
      <c r="G119" s="86"/>
      <c r="H119" s="86">
        <f t="shared" si="17"/>
        <v>0</v>
      </c>
      <c r="I119" s="86">
        <f t="shared" si="17"/>
        <v>0</v>
      </c>
      <c r="J119" s="86"/>
      <c r="K119" s="69">
        <f t="shared" si="15"/>
        <v>0</v>
      </c>
      <c r="L119" s="69">
        <f t="shared" si="16"/>
        <v>0</v>
      </c>
      <c r="M119" s="133"/>
      <c r="N119" s="68">
        <v>500000980</v>
      </c>
      <c r="O119" s="187" t="s">
        <v>260</v>
      </c>
      <c r="P119" s="96" t="s">
        <v>27</v>
      </c>
      <c r="Q119" s="155"/>
      <c r="R119" s="147"/>
    </row>
    <row r="120" spans="1:18">
      <c r="A120" s="66"/>
      <c r="B120" s="174" t="s">
        <v>261</v>
      </c>
      <c r="C120" s="68" t="s">
        <v>42</v>
      </c>
      <c r="D120" s="69"/>
      <c r="E120" s="69"/>
      <c r="F120" s="86"/>
      <c r="G120" s="86"/>
      <c r="H120" s="86"/>
      <c r="I120" s="86"/>
      <c r="J120" s="86"/>
      <c r="K120" s="69"/>
      <c r="L120" s="69"/>
      <c r="M120" s="133"/>
      <c r="N120" s="68">
        <v>500003620</v>
      </c>
      <c r="O120" s="187" t="s">
        <v>262</v>
      </c>
      <c r="P120" s="96" t="s">
        <v>27</v>
      </c>
      <c r="Q120" s="155"/>
      <c r="R120" s="147"/>
    </row>
    <row r="121" ht="27.6" spans="1:18">
      <c r="A121" s="66"/>
      <c r="B121" s="174" t="s">
        <v>263</v>
      </c>
      <c r="C121" s="68" t="s">
        <v>42</v>
      </c>
      <c r="D121" s="69"/>
      <c r="E121" s="69"/>
      <c r="F121" s="86"/>
      <c r="G121" s="86"/>
      <c r="H121" s="86">
        <f t="shared" ref="H121:I154" si="18">D121*F121</f>
        <v>0</v>
      </c>
      <c r="I121" s="86">
        <f t="shared" si="18"/>
        <v>0</v>
      </c>
      <c r="J121" s="86"/>
      <c r="K121" s="69">
        <f t="shared" ref="K121:K185" si="19">D121+E121</f>
        <v>0</v>
      </c>
      <c r="L121" s="69">
        <f t="shared" ref="L121:L185" si="20">F121+G121</f>
        <v>0</v>
      </c>
      <c r="M121" s="133"/>
      <c r="N121" s="68">
        <v>500002847</v>
      </c>
      <c r="O121" s="187" t="s">
        <v>264</v>
      </c>
      <c r="P121" s="96" t="s">
        <v>27</v>
      </c>
      <c r="Q121" s="193" t="s">
        <v>265</v>
      </c>
      <c r="R121" s="147"/>
    </row>
    <row r="122" ht="27.6" spans="1:18">
      <c r="A122" s="66"/>
      <c r="B122" s="174" t="s">
        <v>266</v>
      </c>
      <c r="C122" s="68" t="s">
        <v>42</v>
      </c>
      <c r="D122" s="69"/>
      <c r="E122" s="69"/>
      <c r="F122" s="86"/>
      <c r="G122" s="86"/>
      <c r="H122" s="86">
        <f t="shared" si="18"/>
        <v>0</v>
      </c>
      <c r="I122" s="86">
        <f t="shared" si="18"/>
        <v>0</v>
      </c>
      <c r="J122" s="86"/>
      <c r="K122" s="69">
        <f t="shared" si="19"/>
        <v>0</v>
      </c>
      <c r="L122" s="69">
        <f t="shared" si="20"/>
        <v>0</v>
      </c>
      <c r="M122" s="133"/>
      <c r="N122" s="68">
        <v>500002848</v>
      </c>
      <c r="O122" s="187" t="s">
        <v>267</v>
      </c>
      <c r="P122" s="96" t="s">
        <v>27</v>
      </c>
      <c r="Q122" s="193" t="s">
        <v>265</v>
      </c>
      <c r="R122" s="147"/>
    </row>
    <row r="123" ht="27.6" spans="1:18">
      <c r="A123" s="66"/>
      <c r="B123" s="174" t="s">
        <v>268</v>
      </c>
      <c r="C123" s="68" t="s">
        <v>42</v>
      </c>
      <c r="D123" s="69"/>
      <c r="E123" s="69"/>
      <c r="F123" s="86"/>
      <c r="G123" s="86"/>
      <c r="H123" s="86">
        <f t="shared" si="18"/>
        <v>0</v>
      </c>
      <c r="I123" s="86">
        <f t="shared" si="18"/>
        <v>0</v>
      </c>
      <c r="J123" s="86"/>
      <c r="K123" s="69">
        <f t="shared" si="19"/>
        <v>0</v>
      </c>
      <c r="L123" s="69">
        <f t="shared" si="20"/>
        <v>0</v>
      </c>
      <c r="M123" s="133"/>
      <c r="N123" s="68">
        <v>500002849</v>
      </c>
      <c r="O123" s="187" t="s">
        <v>269</v>
      </c>
      <c r="P123" s="96" t="s">
        <v>27</v>
      </c>
      <c r="Q123" s="193" t="s">
        <v>265</v>
      </c>
      <c r="R123" s="147"/>
    </row>
    <row r="124" ht="27.6" spans="1:28">
      <c r="A124" s="66"/>
      <c r="B124" s="174" t="s">
        <v>270</v>
      </c>
      <c r="C124" s="68" t="s">
        <v>42</v>
      </c>
      <c r="D124" s="69"/>
      <c r="E124" s="69"/>
      <c r="F124" s="86"/>
      <c r="G124" s="86"/>
      <c r="H124" s="86">
        <f t="shared" si="18"/>
        <v>0</v>
      </c>
      <c r="I124" s="86">
        <f t="shared" si="18"/>
        <v>0</v>
      </c>
      <c r="J124" s="86"/>
      <c r="K124" s="69">
        <f t="shared" si="19"/>
        <v>0</v>
      </c>
      <c r="L124" s="69">
        <f t="shared" si="20"/>
        <v>0</v>
      </c>
      <c r="M124" s="133"/>
      <c r="N124" s="68">
        <v>500003030</v>
      </c>
      <c r="O124" s="187" t="s">
        <v>271</v>
      </c>
      <c r="P124" s="96" t="s">
        <v>27</v>
      </c>
      <c r="Q124" s="193" t="s">
        <v>265</v>
      </c>
      <c r="R124" s="147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spans="1:28">
      <c r="A125" s="66"/>
      <c r="B125" s="174" t="s">
        <v>272</v>
      </c>
      <c r="C125" s="68" t="s">
        <v>42</v>
      </c>
      <c r="D125" s="69"/>
      <c r="E125" s="69"/>
      <c r="F125" s="86"/>
      <c r="G125" s="86"/>
      <c r="H125" s="86">
        <f t="shared" si="18"/>
        <v>0</v>
      </c>
      <c r="I125" s="86">
        <f t="shared" si="18"/>
        <v>0</v>
      </c>
      <c r="J125" s="86"/>
      <c r="K125" s="69">
        <f t="shared" si="19"/>
        <v>0</v>
      </c>
      <c r="L125" s="69">
        <f t="shared" si="20"/>
        <v>0</v>
      </c>
      <c r="M125" s="133"/>
      <c r="N125" s="68">
        <v>500003031</v>
      </c>
      <c r="O125" s="187" t="s">
        <v>273</v>
      </c>
      <c r="P125" s="96" t="s">
        <v>27</v>
      </c>
      <c r="Q125" s="193" t="s">
        <v>265</v>
      </c>
      <c r="R125" s="147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spans="1:28">
      <c r="A126" s="66"/>
      <c r="B126" s="174" t="s">
        <v>274</v>
      </c>
      <c r="C126" s="68" t="s">
        <v>42</v>
      </c>
      <c r="D126" s="69"/>
      <c r="E126" s="69"/>
      <c r="F126" s="86"/>
      <c r="G126" s="86"/>
      <c r="H126" s="86">
        <f t="shared" si="18"/>
        <v>0</v>
      </c>
      <c r="I126" s="86">
        <f t="shared" si="18"/>
        <v>0</v>
      </c>
      <c r="J126" s="86"/>
      <c r="K126" s="69">
        <f t="shared" si="19"/>
        <v>0</v>
      </c>
      <c r="L126" s="69">
        <f t="shared" si="20"/>
        <v>0</v>
      </c>
      <c r="M126" s="133"/>
      <c r="N126" s="68">
        <v>500003032</v>
      </c>
      <c r="O126" s="187" t="s">
        <v>275</v>
      </c>
      <c r="P126" s="96" t="s">
        <v>27</v>
      </c>
      <c r="Q126" s="193" t="s">
        <v>265</v>
      </c>
      <c r="R126" s="147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spans="1:28">
      <c r="A127" s="66"/>
      <c r="B127" s="174" t="s">
        <v>276</v>
      </c>
      <c r="C127" s="68" t="s">
        <v>42</v>
      </c>
      <c r="D127" s="69"/>
      <c r="E127" s="69"/>
      <c r="F127" s="86"/>
      <c r="G127" s="86"/>
      <c r="H127" s="86">
        <f t="shared" si="18"/>
        <v>0</v>
      </c>
      <c r="I127" s="86">
        <f t="shared" si="18"/>
        <v>0</v>
      </c>
      <c r="J127" s="86"/>
      <c r="K127" s="69">
        <f t="shared" si="19"/>
        <v>0</v>
      </c>
      <c r="L127" s="69">
        <f t="shared" si="20"/>
        <v>0</v>
      </c>
      <c r="M127" s="133"/>
      <c r="N127" s="68">
        <v>500003033</v>
      </c>
      <c r="O127" s="187" t="s">
        <v>277</v>
      </c>
      <c r="P127" s="96" t="s">
        <v>27</v>
      </c>
      <c r="Q127" s="193" t="s">
        <v>265</v>
      </c>
      <c r="R127" s="147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spans="1:28">
      <c r="A128" s="66"/>
      <c r="B128" s="174" t="s">
        <v>278</v>
      </c>
      <c r="C128" s="68" t="s">
        <v>42</v>
      </c>
      <c r="D128" s="69"/>
      <c r="E128" s="69"/>
      <c r="F128" s="86"/>
      <c r="G128" s="86"/>
      <c r="H128" s="86">
        <f t="shared" si="18"/>
        <v>0</v>
      </c>
      <c r="I128" s="86">
        <f t="shared" si="18"/>
        <v>0</v>
      </c>
      <c r="J128" s="86"/>
      <c r="K128" s="69">
        <f t="shared" si="19"/>
        <v>0</v>
      </c>
      <c r="L128" s="69">
        <f t="shared" si="20"/>
        <v>0</v>
      </c>
      <c r="M128" s="133"/>
      <c r="N128" s="68">
        <v>500003034</v>
      </c>
      <c r="O128" s="187" t="s">
        <v>279</v>
      </c>
      <c r="P128" s="96" t="s">
        <v>27</v>
      </c>
      <c r="Q128" s="193" t="s">
        <v>265</v>
      </c>
      <c r="R128" s="147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2" spans="1:28">
      <c r="A129" s="66"/>
      <c r="B129" s="174" t="s">
        <v>280</v>
      </c>
      <c r="C129" s="68" t="s">
        <v>281</v>
      </c>
      <c r="D129" s="69"/>
      <c r="E129" s="69"/>
      <c r="F129" s="86"/>
      <c r="G129" s="86"/>
      <c r="H129" s="86">
        <f t="shared" si="18"/>
        <v>0</v>
      </c>
      <c r="I129" s="86">
        <f t="shared" si="18"/>
        <v>0</v>
      </c>
      <c r="J129" s="86"/>
      <c r="K129" s="69">
        <f t="shared" si="19"/>
        <v>0</v>
      </c>
      <c r="L129" s="69">
        <f t="shared" si="20"/>
        <v>0</v>
      </c>
      <c r="M129" s="133"/>
      <c r="N129" s="68">
        <v>500003035</v>
      </c>
      <c r="O129" s="187" t="s">
        <v>282</v>
      </c>
      <c r="P129" s="96" t="s">
        <v>27</v>
      </c>
      <c r="Q129" s="193" t="s">
        <v>265</v>
      </c>
      <c r="R129" s="147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27.6" spans="1:28">
      <c r="A130" s="66"/>
      <c r="B130" s="174" t="s">
        <v>283</v>
      </c>
      <c r="C130" s="68" t="s">
        <v>42</v>
      </c>
      <c r="D130" s="69"/>
      <c r="E130" s="69"/>
      <c r="F130" s="86"/>
      <c r="G130" s="86"/>
      <c r="H130" s="86">
        <f t="shared" si="18"/>
        <v>0</v>
      </c>
      <c r="I130" s="86">
        <f t="shared" si="18"/>
        <v>0</v>
      </c>
      <c r="J130" s="86"/>
      <c r="K130" s="69">
        <f t="shared" si="19"/>
        <v>0</v>
      </c>
      <c r="L130" s="69">
        <f t="shared" si="20"/>
        <v>0</v>
      </c>
      <c r="M130" s="133"/>
      <c r="N130" s="68">
        <v>500003036</v>
      </c>
      <c r="O130" s="187" t="s">
        <v>284</v>
      </c>
      <c r="P130" s="96" t="s">
        <v>27</v>
      </c>
      <c r="Q130" s="193" t="s">
        <v>265</v>
      </c>
      <c r="R130" s="147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41.4" spans="1:28">
      <c r="A131" s="66"/>
      <c r="B131" s="174" t="s">
        <v>285</v>
      </c>
      <c r="C131" s="68" t="s">
        <v>42</v>
      </c>
      <c r="D131" s="69"/>
      <c r="E131" s="69"/>
      <c r="F131" s="86"/>
      <c r="G131" s="86"/>
      <c r="H131" s="86">
        <f t="shared" si="18"/>
        <v>0</v>
      </c>
      <c r="I131" s="86">
        <f t="shared" si="18"/>
        <v>0</v>
      </c>
      <c r="J131" s="86"/>
      <c r="K131" s="69">
        <f t="shared" si="19"/>
        <v>0</v>
      </c>
      <c r="L131" s="69">
        <f t="shared" si="20"/>
        <v>0</v>
      </c>
      <c r="M131" s="133"/>
      <c r="N131" s="68">
        <v>500003037</v>
      </c>
      <c r="O131" s="187" t="s">
        <v>286</v>
      </c>
      <c r="P131" s="96" t="s">
        <v>27</v>
      </c>
      <c r="Q131" s="193" t="s">
        <v>265</v>
      </c>
      <c r="R131" s="147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spans="1:28">
      <c r="A132" s="66"/>
      <c r="B132" s="95" t="s">
        <v>287</v>
      </c>
      <c r="C132" s="68" t="s">
        <v>198</v>
      </c>
      <c r="D132" s="69"/>
      <c r="E132" s="69"/>
      <c r="F132" s="86"/>
      <c r="G132" s="86"/>
      <c r="H132" s="86">
        <f t="shared" si="18"/>
        <v>0</v>
      </c>
      <c r="I132" s="86">
        <f t="shared" si="18"/>
        <v>0</v>
      </c>
      <c r="J132" s="86"/>
      <c r="K132" s="69">
        <f t="shared" si="19"/>
        <v>0</v>
      </c>
      <c r="L132" s="69">
        <f t="shared" si="20"/>
        <v>0</v>
      </c>
      <c r="M132" s="133"/>
      <c r="N132" s="68">
        <v>500003038</v>
      </c>
      <c r="O132" s="187" t="s">
        <v>288</v>
      </c>
      <c r="P132" s="96" t="s">
        <v>27</v>
      </c>
      <c r="Q132" s="193" t="s">
        <v>265</v>
      </c>
      <c r="R132" s="147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spans="1:28">
      <c r="A133" s="66" t="s">
        <v>127</v>
      </c>
      <c r="B133" s="95" t="s">
        <v>289</v>
      </c>
      <c r="C133" s="68"/>
      <c r="D133" s="69"/>
      <c r="E133" s="69"/>
      <c r="F133" s="86"/>
      <c r="G133" s="86"/>
      <c r="H133" s="86">
        <f t="shared" si="18"/>
        <v>0</v>
      </c>
      <c r="I133" s="86">
        <f t="shared" si="18"/>
        <v>0</v>
      </c>
      <c r="J133" s="86"/>
      <c r="K133" s="69">
        <f t="shared" si="19"/>
        <v>0</v>
      </c>
      <c r="L133" s="123">
        <f t="shared" si="20"/>
        <v>0</v>
      </c>
      <c r="M133" s="133"/>
      <c r="N133" s="144"/>
      <c r="O133" s="144"/>
      <c r="P133" s="133"/>
      <c r="Q133" s="155"/>
      <c r="R133" s="147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spans="1:28">
      <c r="A134" s="66"/>
      <c r="B134" s="95" t="s">
        <v>290</v>
      </c>
      <c r="C134" s="68" t="s">
        <v>42</v>
      </c>
      <c r="D134" s="69"/>
      <c r="E134" s="69"/>
      <c r="F134" s="86"/>
      <c r="G134" s="86"/>
      <c r="H134" s="86">
        <f t="shared" si="18"/>
        <v>0</v>
      </c>
      <c r="I134" s="86">
        <f t="shared" si="18"/>
        <v>0</v>
      </c>
      <c r="J134" s="86"/>
      <c r="K134" s="69">
        <f t="shared" si="19"/>
        <v>0</v>
      </c>
      <c r="L134" s="123">
        <f t="shared" si="20"/>
        <v>0</v>
      </c>
      <c r="M134" s="133"/>
      <c r="N134" s="135">
        <v>200001017</v>
      </c>
      <c r="O134" s="187" t="s">
        <v>291</v>
      </c>
      <c r="P134" s="96" t="s">
        <v>32</v>
      </c>
      <c r="Q134" s="155"/>
      <c r="R134" s="147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spans="1:28">
      <c r="A135" s="66"/>
      <c r="B135" s="95" t="s">
        <v>292</v>
      </c>
      <c r="C135" s="68" t="s">
        <v>42</v>
      </c>
      <c r="D135" s="69"/>
      <c r="E135" s="69"/>
      <c r="F135" s="86"/>
      <c r="G135" s="86"/>
      <c r="H135" s="86">
        <f t="shared" si="18"/>
        <v>0</v>
      </c>
      <c r="I135" s="86">
        <f t="shared" si="18"/>
        <v>0</v>
      </c>
      <c r="J135" s="86"/>
      <c r="K135" s="69">
        <f t="shared" si="19"/>
        <v>0</v>
      </c>
      <c r="L135" s="123">
        <f t="shared" si="20"/>
        <v>0</v>
      </c>
      <c r="M135" s="175">
        <v>500002144</v>
      </c>
      <c r="N135" s="175">
        <v>500002144</v>
      </c>
      <c r="O135" s="187" t="s">
        <v>293</v>
      </c>
      <c r="P135" s="96" t="s">
        <v>27</v>
      </c>
      <c r="Q135" s="155"/>
      <c r="R135" s="147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spans="1:28">
      <c r="A136" s="66"/>
      <c r="B136" s="95" t="s">
        <v>294</v>
      </c>
      <c r="C136" s="68" t="s">
        <v>198</v>
      </c>
      <c r="D136" s="69"/>
      <c r="E136" s="69"/>
      <c r="F136" s="86"/>
      <c r="G136" s="86"/>
      <c r="H136" s="86">
        <f t="shared" si="18"/>
        <v>0</v>
      </c>
      <c r="I136" s="86">
        <f t="shared" si="18"/>
        <v>0</v>
      </c>
      <c r="J136" s="86"/>
      <c r="K136" s="69">
        <f t="shared" si="19"/>
        <v>0</v>
      </c>
      <c r="L136" s="123">
        <f t="shared" si="20"/>
        <v>0</v>
      </c>
      <c r="M136" s="133"/>
      <c r="N136" s="135" t="s">
        <v>658</v>
      </c>
      <c r="O136" s="136" t="s">
        <v>295</v>
      </c>
      <c r="P136" s="96" t="s">
        <v>32</v>
      </c>
      <c r="Q136" s="155"/>
      <c r="R136" s="147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spans="1:28">
      <c r="A137" s="66"/>
      <c r="B137" s="95" t="s">
        <v>296</v>
      </c>
      <c r="C137" s="68" t="s">
        <v>198</v>
      </c>
      <c r="D137" s="69"/>
      <c r="E137" s="69"/>
      <c r="F137" s="86"/>
      <c r="G137" s="86"/>
      <c r="H137" s="86">
        <f t="shared" si="18"/>
        <v>0</v>
      </c>
      <c r="I137" s="86">
        <f t="shared" si="18"/>
        <v>0</v>
      </c>
      <c r="J137" s="86"/>
      <c r="K137" s="69">
        <f t="shared" si="19"/>
        <v>0</v>
      </c>
      <c r="L137" s="123">
        <f t="shared" si="20"/>
        <v>0</v>
      </c>
      <c r="M137" s="175">
        <v>500002145</v>
      </c>
      <c r="N137" s="175">
        <v>500002145</v>
      </c>
      <c r="O137" s="187" t="s">
        <v>293</v>
      </c>
      <c r="P137" s="96" t="s">
        <v>27</v>
      </c>
      <c r="Q137" s="155"/>
      <c r="R137" s="147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spans="1:28">
      <c r="A138" s="66"/>
      <c r="B138" s="95" t="s">
        <v>297</v>
      </c>
      <c r="C138" s="68" t="s">
        <v>42</v>
      </c>
      <c r="D138" s="98">
        <f>'BoM AE'!O71</f>
        <v>0</v>
      </c>
      <c r="E138" s="69"/>
      <c r="F138" s="86"/>
      <c r="G138" s="86"/>
      <c r="H138" s="86">
        <f t="shared" si="18"/>
        <v>0</v>
      </c>
      <c r="I138" s="86">
        <f t="shared" si="18"/>
        <v>0</v>
      </c>
      <c r="J138" s="86"/>
      <c r="K138" s="69">
        <f t="shared" si="19"/>
        <v>0</v>
      </c>
      <c r="L138" s="123">
        <f t="shared" si="20"/>
        <v>0</v>
      </c>
      <c r="M138" s="175"/>
      <c r="N138" s="144">
        <v>200000510</v>
      </c>
      <c r="O138" s="187" t="s">
        <v>298</v>
      </c>
      <c r="P138" s="96" t="s">
        <v>32</v>
      </c>
      <c r="Q138" s="155"/>
      <c r="R138" s="147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spans="1:28">
      <c r="A139" s="66"/>
      <c r="B139" s="95" t="s">
        <v>299</v>
      </c>
      <c r="C139" s="68" t="s">
        <v>42</v>
      </c>
      <c r="D139" s="69"/>
      <c r="E139" s="98">
        <f>D138</f>
        <v>0</v>
      </c>
      <c r="F139" s="86"/>
      <c r="G139" s="86"/>
      <c r="H139" s="86">
        <f t="shared" si="18"/>
        <v>0</v>
      </c>
      <c r="I139" s="86">
        <f t="shared" si="18"/>
        <v>0</v>
      </c>
      <c r="J139" s="86"/>
      <c r="K139" s="69">
        <f t="shared" si="19"/>
        <v>0</v>
      </c>
      <c r="L139" s="123">
        <f t="shared" si="20"/>
        <v>0</v>
      </c>
      <c r="M139" s="175">
        <v>500002146</v>
      </c>
      <c r="N139" s="175">
        <v>500002146</v>
      </c>
      <c r="O139" s="187" t="s">
        <v>293</v>
      </c>
      <c r="P139" s="96" t="s">
        <v>27</v>
      </c>
      <c r="Q139" s="155"/>
      <c r="R139" s="147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spans="1:28">
      <c r="A140" s="66"/>
      <c r="B140" s="95" t="s">
        <v>300</v>
      </c>
      <c r="C140" s="68" t="s">
        <v>198</v>
      </c>
      <c r="D140" s="98">
        <f>'BoM AE'!O73</f>
        <v>0</v>
      </c>
      <c r="E140" s="69"/>
      <c r="F140" s="86"/>
      <c r="G140" s="86"/>
      <c r="H140" s="86">
        <f t="shared" si="18"/>
        <v>0</v>
      </c>
      <c r="I140" s="86">
        <f t="shared" si="18"/>
        <v>0</v>
      </c>
      <c r="J140" s="86"/>
      <c r="K140" s="69">
        <f t="shared" si="19"/>
        <v>0</v>
      </c>
      <c r="L140" s="123">
        <f t="shared" si="20"/>
        <v>0</v>
      </c>
      <c r="M140" s="133"/>
      <c r="N140" s="135" t="s">
        <v>659</v>
      </c>
      <c r="O140" s="106" t="s">
        <v>301</v>
      </c>
      <c r="P140" s="133"/>
      <c r="Q140" s="155"/>
      <c r="R140" s="147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spans="1:28">
      <c r="A141" s="66"/>
      <c r="B141" s="95" t="s">
        <v>302</v>
      </c>
      <c r="C141" s="68" t="s">
        <v>198</v>
      </c>
      <c r="D141" s="69"/>
      <c r="E141" s="98">
        <f>D140</f>
        <v>0</v>
      </c>
      <c r="F141" s="86"/>
      <c r="G141" s="86"/>
      <c r="H141" s="86">
        <f t="shared" si="18"/>
        <v>0</v>
      </c>
      <c r="I141" s="86">
        <f t="shared" si="18"/>
        <v>0</v>
      </c>
      <c r="J141" s="86"/>
      <c r="K141" s="69">
        <f t="shared" si="19"/>
        <v>0</v>
      </c>
      <c r="L141" s="123">
        <f t="shared" si="20"/>
        <v>0</v>
      </c>
      <c r="M141" s="175">
        <v>500002147</v>
      </c>
      <c r="N141" s="175">
        <v>500002147</v>
      </c>
      <c r="O141" s="187" t="s">
        <v>293</v>
      </c>
      <c r="P141" s="96" t="s">
        <v>27</v>
      </c>
      <c r="Q141" s="155"/>
      <c r="R141" s="147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spans="1:28">
      <c r="A142" s="66" t="s">
        <v>133</v>
      </c>
      <c r="B142" s="95" t="s">
        <v>303</v>
      </c>
      <c r="C142" s="68"/>
      <c r="D142" s="69"/>
      <c r="E142" s="69"/>
      <c r="F142" s="86"/>
      <c r="G142" s="86"/>
      <c r="H142" s="86">
        <f t="shared" si="18"/>
        <v>0</v>
      </c>
      <c r="I142" s="86">
        <f t="shared" si="18"/>
        <v>0</v>
      </c>
      <c r="J142" s="86"/>
      <c r="K142" s="69">
        <f t="shared" si="19"/>
        <v>0</v>
      </c>
      <c r="L142" s="123">
        <f t="shared" si="20"/>
        <v>0</v>
      </c>
      <c r="M142" s="133"/>
      <c r="N142" s="144"/>
      <c r="O142" s="144"/>
      <c r="P142" s="133"/>
      <c r="Q142" s="155"/>
      <c r="R142" s="147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spans="1:28">
      <c r="A143" s="66"/>
      <c r="B143" s="172" t="s">
        <v>304</v>
      </c>
      <c r="C143" s="68" t="s">
        <v>42</v>
      </c>
      <c r="D143" s="69"/>
      <c r="E143" s="69"/>
      <c r="F143" s="86"/>
      <c r="G143" s="86"/>
      <c r="H143" s="86">
        <f t="shared" si="18"/>
        <v>0</v>
      </c>
      <c r="I143" s="86">
        <f t="shared" si="18"/>
        <v>0</v>
      </c>
      <c r="J143" s="86"/>
      <c r="K143" s="69">
        <f t="shared" si="19"/>
        <v>0</v>
      </c>
      <c r="L143" s="123">
        <f t="shared" si="20"/>
        <v>0</v>
      </c>
      <c r="M143" s="133"/>
      <c r="N143" s="135">
        <v>200000600</v>
      </c>
      <c r="O143" s="195" t="s">
        <v>305</v>
      </c>
      <c r="P143" s="96" t="s">
        <v>32</v>
      </c>
      <c r="Q143" s="155"/>
      <c r="R143" s="147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spans="1:28">
      <c r="A144" s="66"/>
      <c r="B144" s="172" t="s">
        <v>306</v>
      </c>
      <c r="C144" s="68" t="s">
        <v>42</v>
      </c>
      <c r="D144" s="98">
        <f>'BoM AE'!O76</f>
        <v>0</v>
      </c>
      <c r="E144" s="69"/>
      <c r="F144" s="86"/>
      <c r="G144" s="86"/>
      <c r="H144" s="86">
        <f t="shared" si="18"/>
        <v>0</v>
      </c>
      <c r="I144" s="86">
        <f t="shared" si="18"/>
        <v>0</v>
      </c>
      <c r="J144" s="86"/>
      <c r="K144" s="69">
        <f t="shared" si="19"/>
        <v>0</v>
      </c>
      <c r="L144" s="123">
        <f t="shared" si="20"/>
        <v>0</v>
      </c>
      <c r="M144" s="175">
        <v>200001054</v>
      </c>
      <c r="N144" s="175">
        <v>200001054</v>
      </c>
      <c r="O144" s="187" t="s">
        <v>307</v>
      </c>
      <c r="P144" s="96" t="s">
        <v>32</v>
      </c>
      <c r="Q144" s="155"/>
      <c r="R144" s="147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spans="1:28">
      <c r="A145" s="66"/>
      <c r="B145" s="172" t="s">
        <v>308</v>
      </c>
      <c r="C145" s="68" t="s">
        <v>42</v>
      </c>
      <c r="D145" s="98">
        <f>'BoM AE'!O77</f>
        <v>0</v>
      </c>
      <c r="E145" s="69"/>
      <c r="F145" s="86"/>
      <c r="G145" s="86"/>
      <c r="H145" s="86">
        <f t="shared" si="18"/>
        <v>0</v>
      </c>
      <c r="I145" s="86">
        <f t="shared" si="18"/>
        <v>0</v>
      </c>
      <c r="J145" s="86"/>
      <c r="K145" s="69">
        <f t="shared" si="19"/>
        <v>0</v>
      </c>
      <c r="L145" s="123">
        <f t="shared" si="20"/>
        <v>0</v>
      </c>
      <c r="M145" s="133"/>
      <c r="N145" s="135" t="s">
        <v>660</v>
      </c>
      <c r="O145" s="187" t="s">
        <v>309</v>
      </c>
      <c r="P145" s="96" t="s">
        <v>32</v>
      </c>
      <c r="Q145" s="155"/>
      <c r="R145" s="147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spans="1:28">
      <c r="A146" s="66"/>
      <c r="B146" s="172" t="s">
        <v>310</v>
      </c>
      <c r="C146" s="68" t="s">
        <v>42</v>
      </c>
      <c r="D146" s="69"/>
      <c r="E146" s="69"/>
      <c r="F146" s="86"/>
      <c r="G146" s="86"/>
      <c r="H146" s="86">
        <f t="shared" si="18"/>
        <v>0</v>
      </c>
      <c r="I146" s="86">
        <f t="shared" si="18"/>
        <v>0</v>
      </c>
      <c r="J146" s="86"/>
      <c r="K146" s="69">
        <f t="shared" si="19"/>
        <v>0</v>
      </c>
      <c r="L146" s="123">
        <f t="shared" si="20"/>
        <v>0</v>
      </c>
      <c r="M146" s="133"/>
      <c r="N146" s="135" t="s">
        <v>661</v>
      </c>
      <c r="O146" s="136" t="s">
        <v>311</v>
      </c>
      <c r="P146" s="96" t="s">
        <v>32</v>
      </c>
      <c r="Q146" s="155"/>
      <c r="R146" s="147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spans="1:28">
      <c r="A147" s="66" t="s">
        <v>139</v>
      </c>
      <c r="B147" s="172" t="s">
        <v>312</v>
      </c>
      <c r="C147" s="68"/>
      <c r="D147" s="69"/>
      <c r="E147" s="69"/>
      <c r="F147" s="86"/>
      <c r="G147" s="86"/>
      <c r="H147" s="86">
        <f t="shared" si="18"/>
        <v>0</v>
      </c>
      <c r="I147" s="86">
        <f t="shared" si="18"/>
        <v>0</v>
      </c>
      <c r="J147" s="86"/>
      <c r="K147" s="69">
        <f t="shared" si="19"/>
        <v>0</v>
      </c>
      <c r="L147" s="123">
        <f t="shared" si="20"/>
        <v>0</v>
      </c>
      <c r="M147" s="133"/>
      <c r="N147" s="144"/>
      <c r="O147" s="144"/>
      <c r="P147" s="133"/>
      <c r="Q147" s="155"/>
      <c r="R147" s="147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spans="1:28">
      <c r="A148" s="66"/>
      <c r="B148" s="174" t="s">
        <v>313</v>
      </c>
      <c r="C148" s="68" t="s">
        <v>42</v>
      </c>
      <c r="D148" s="69"/>
      <c r="E148" s="69"/>
      <c r="F148" s="86"/>
      <c r="G148" s="86"/>
      <c r="H148" s="86">
        <f t="shared" si="18"/>
        <v>0</v>
      </c>
      <c r="I148" s="86">
        <f t="shared" si="18"/>
        <v>0</v>
      </c>
      <c r="J148" s="86"/>
      <c r="K148" s="69">
        <f t="shared" si="19"/>
        <v>0</v>
      </c>
      <c r="L148" s="123">
        <f t="shared" si="20"/>
        <v>0</v>
      </c>
      <c r="M148" s="133"/>
      <c r="N148" s="144">
        <v>200001050</v>
      </c>
      <c r="O148" s="187" t="s">
        <v>314</v>
      </c>
      <c r="P148" s="96" t="s">
        <v>32</v>
      </c>
      <c r="Q148" s="155"/>
      <c r="R148" s="147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spans="1:28">
      <c r="A149" s="66"/>
      <c r="B149" s="174" t="s">
        <v>315</v>
      </c>
      <c r="C149" s="68" t="s">
        <v>42</v>
      </c>
      <c r="D149" s="69"/>
      <c r="E149" s="69"/>
      <c r="F149" s="86"/>
      <c r="G149" s="86"/>
      <c r="H149" s="86">
        <f t="shared" si="18"/>
        <v>0</v>
      </c>
      <c r="I149" s="86">
        <f t="shared" si="18"/>
        <v>0</v>
      </c>
      <c r="J149" s="86"/>
      <c r="K149" s="69">
        <f t="shared" si="19"/>
        <v>0</v>
      </c>
      <c r="L149" s="123">
        <f t="shared" si="20"/>
        <v>0</v>
      </c>
      <c r="M149" s="133"/>
      <c r="N149" s="144">
        <v>200001051</v>
      </c>
      <c r="O149" s="187" t="s">
        <v>316</v>
      </c>
      <c r="P149" s="96" t="s">
        <v>32</v>
      </c>
      <c r="Q149" s="155"/>
      <c r="R149" s="147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spans="1:28">
      <c r="A150" s="66"/>
      <c r="B150" s="174" t="s">
        <v>317</v>
      </c>
      <c r="C150" s="68" t="s">
        <v>42</v>
      </c>
      <c r="D150" s="69"/>
      <c r="E150" s="69"/>
      <c r="F150" s="86"/>
      <c r="G150" s="86"/>
      <c r="H150" s="86">
        <f t="shared" si="18"/>
        <v>0</v>
      </c>
      <c r="I150" s="86">
        <f t="shared" si="18"/>
        <v>0</v>
      </c>
      <c r="J150" s="86"/>
      <c r="K150" s="69">
        <f t="shared" si="19"/>
        <v>0</v>
      </c>
      <c r="L150" s="123">
        <f t="shared" si="20"/>
        <v>0</v>
      </c>
      <c r="M150" s="133"/>
      <c r="N150" s="144">
        <v>200001052</v>
      </c>
      <c r="O150" s="187" t="s">
        <v>318</v>
      </c>
      <c r="P150" s="96" t="s">
        <v>32</v>
      </c>
      <c r="Q150" s="155"/>
      <c r="R150" s="147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spans="1:28">
      <c r="A151" s="66"/>
      <c r="B151" s="174" t="s">
        <v>319</v>
      </c>
      <c r="C151" s="68" t="s">
        <v>42</v>
      </c>
      <c r="D151" s="69"/>
      <c r="E151" s="69"/>
      <c r="F151" s="86"/>
      <c r="G151" s="86"/>
      <c r="H151" s="86">
        <f t="shared" si="18"/>
        <v>0</v>
      </c>
      <c r="I151" s="86">
        <f t="shared" si="18"/>
        <v>0</v>
      </c>
      <c r="J151" s="86"/>
      <c r="K151" s="69">
        <f t="shared" si="19"/>
        <v>0</v>
      </c>
      <c r="L151" s="123">
        <f t="shared" si="20"/>
        <v>0</v>
      </c>
      <c r="M151" s="133"/>
      <c r="N151" s="144">
        <v>200001053</v>
      </c>
      <c r="O151" s="187" t="s">
        <v>320</v>
      </c>
      <c r="P151" s="96" t="s">
        <v>32</v>
      </c>
      <c r="Q151" s="155"/>
      <c r="R151" s="147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spans="1:28">
      <c r="A152" s="66" t="s">
        <v>160</v>
      </c>
      <c r="B152" s="172" t="s">
        <v>321</v>
      </c>
      <c r="C152" s="68"/>
      <c r="D152" s="69"/>
      <c r="E152" s="69"/>
      <c r="F152" s="86"/>
      <c r="G152" s="86"/>
      <c r="H152" s="86">
        <f t="shared" si="18"/>
        <v>0</v>
      </c>
      <c r="I152" s="86">
        <f t="shared" si="18"/>
        <v>0</v>
      </c>
      <c r="J152" s="86"/>
      <c r="K152" s="69">
        <f t="shared" si="19"/>
        <v>0</v>
      </c>
      <c r="L152" s="123">
        <f t="shared" si="20"/>
        <v>0</v>
      </c>
      <c r="M152" s="133"/>
      <c r="N152" s="144"/>
      <c r="O152" s="144"/>
      <c r="P152" s="133"/>
      <c r="Q152" s="155"/>
      <c r="R152" s="147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spans="1:28">
      <c r="A153" s="66"/>
      <c r="B153" s="172" t="s">
        <v>322</v>
      </c>
      <c r="C153" s="68" t="s">
        <v>42</v>
      </c>
      <c r="D153" s="69"/>
      <c r="E153" s="69"/>
      <c r="F153" s="86"/>
      <c r="G153" s="86"/>
      <c r="H153" s="86">
        <f t="shared" si="18"/>
        <v>0</v>
      </c>
      <c r="I153" s="86">
        <f t="shared" si="18"/>
        <v>0</v>
      </c>
      <c r="J153" s="86"/>
      <c r="K153" s="69">
        <f t="shared" si="19"/>
        <v>0</v>
      </c>
      <c r="L153" s="123">
        <f t="shared" si="20"/>
        <v>0</v>
      </c>
      <c r="M153" s="133"/>
      <c r="N153" s="135" t="s">
        <v>662</v>
      </c>
      <c r="O153" s="136" t="s">
        <v>323</v>
      </c>
      <c r="P153" s="96" t="s">
        <v>32</v>
      </c>
      <c r="Q153" s="155"/>
      <c r="R153" s="147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spans="1:28">
      <c r="A154" s="66"/>
      <c r="B154" s="172" t="s">
        <v>324</v>
      </c>
      <c r="C154" s="68" t="s">
        <v>42</v>
      </c>
      <c r="D154" s="69"/>
      <c r="E154" s="69"/>
      <c r="F154" s="86"/>
      <c r="G154" s="86"/>
      <c r="H154" s="86">
        <f t="shared" si="18"/>
        <v>0</v>
      </c>
      <c r="I154" s="86">
        <f t="shared" si="18"/>
        <v>0</v>
      </c>
      <c r="J154" s="86"/>
      <c r="K154" s="69">
        <f t="shared" si="19"/>
        <v>0</v>
      </c>
      <c r="L154" s="123">
        <f t="shared" si="20"/>
        <v>0</v>
      </c>
      <c r="M154" s="133"/>
      <c r="N154" s="135" t="s">
        <v>663</v>
      </c>
      <c r="O154" s="136" t="s">
        <v>325</v>
      </c>
      <c r="P154" s="96" t="s">
        <v>32</v>
      </c>
      <c r="Q154" s="155"/>
      <c r="R154" s="147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spans="1:28">
      <c r="A155" s="66"/>
      <c r="B155" s="172" t="s">
        <v>326</v>
      </c>
      <c r="C155" s="68" t="s">
        <v>42</v>
      </c>
      <c r="D155" s="69"/>
      <c r="E155" s="69"/>
      <c r="F155" s="86"/>
      <c r="G155" s="86"/>
      <c r="H155" s="86">
        <f t="shared" ref="H155:I185" si="21">D155*F155</f>
        <v>0</v>
      </c>
      <c r="I155" s="86">
        <f t="shared" si="21"/>
        <v>0</v>
      </c>
      <c r="J155" s="86"/>
      <c r="K155" s="69">
        <f t="shared" si="19"/>
        <v>0</v>
      </c>
      <c r="L155" s="123">
        <f t="shared" si="20"/>
        <v>0</v>
      </c>
      <c r="M155" s="133"/>
      <c r="N155" s="135" t="s">
        <v>664</v>
      </c>
      <c r="O155" s="136" t="s">
        <v>327</v>
      </c>
      <c r="P155" s="96" t="s">
        <v>32</v>
      </c>
      <c r="Q155" s="155"/>
      <c r="R155" s="147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spans="1:28">
      <c r="A156" s="66"/>
      <c r="B156" s="172" t="s">
        <v>328</v>
      </c>
      <c r="C156" s="68" t="s">
        <v>42</v>
      </c>
      <c r="D156" s="69"/>
      <c r="E156" s="69"/>
      <c r="F156" s="86"/>
      <c r="G156" s="86"/>
      <c r="H156" s="86">
        <f t="shared" si="21"/>
        <v>0</v>
      </c>
      <c r="I156" s="86">
        <f t="shared" si="21"/>
        <v>0</v>
      </c>
      <c r="J156" s="86"/>
      <c r="K156" s="69">
        <f t="shared" si="19"/>
        <v>0</v>
      </c>
      <c r="L156" s="123">
        <f t="shared" si="20"/>
        <v>0</v>
      </c>
      <c r="M156" s="133"/>
      <c r="N156" s="135" t="s">
        <v>665</v>
      </c>
      <c r="O156" s="136" t="s">
        <v>329</v>
      </c>
      <c r="P156" s="96" t="s">
        <v>32</v>
      </c>
      <c r="Q156" s="155"/>
      <c r="R156" s="147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spans="1:28">
      <c r="A157" s="66"/>
      <c r="B157" s="172" t="s">
        <v>330</v>
      </c>
      <c r="C157" s="68" t="s">
        <v>42</v>
      </c>
      <c r="D157" s="69"/>
      <c r="E157" s="69"/>
      <c r="F157" s="86"/>
      <c r="G157" s="86"/>
      <c r="H157" s="86">
        <f t="shared" si="21"/>
        <v>0</v>
      </c>
      <c r="I157" s="86">
        <f t="shared" si="21"/>
        <v>0</v>
      </c>
      <c r="J157" s="86"/>
      <c r="K157" s="69">
        <f t="shared" si="19"/>
        <v>0</v>
      </c>
      <c r="L157" s="123">
        <f t="shared" si="20"/>
        <v>0</v>
      </c>
      <c r="M157" s="133"/>
      <c r="N157" s="135" t="s">
        <v>666</v>
      </c>
      <c r="O157" s="136" t="s">
        <v>331</v>
      </c>
      <c r="P157" s="96" t="s">
        <v>32</v>
      </c>
      <c r="Q157" s="155"/>
      <c r="R157" s="147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spans="1:28">
      <c r="A158" s="66"/>
      <c r="B158" s="172" t="s">
        <v>332</v>
      </c>
      <c r="C158" s="68" t="s">
        <v>42</v>
      </c>
      <c r="D158" s="69"/>
      <c r="E158" s="69"/>
      <c r="F158" s="86"/>
      <c r="G158" s="86"/>
      <c r="H158" s="86">
        <f t="shared" si="21"/>
        <v>0</v>
      </c>
      <c r="I158" s="86">
        <f t="shared" si="21"/>
        <v>0</v>
      </c>
      <c r="J158" s="86"/>
      <c r="K158" s="69">
        <f t="shared" si="19"/>
        <v>0</v>
      </c>
      <c r="L158" s="123">
        <f t="shared" si="20"/>
        <v>0</v>
      </c>
      <c r="M158" s="133"/>
      <c r="N158" s="135">
        <v>200000998</v>
      </c>
      <c r="O158" s="136" t="s">
        <v>333</v>
      </c>
      <c r="P158" s="96" t="s">
        <v>32</v>
      </c>
      <c r="Q158" s="155"/>
      <c r="R158" s="147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spans="1:28">
      <c r="A159" s="66"/>
      <c r="B159" s="172" t="s">
        <v>334</v>
      </c>
      <c r="C159" s="68" t="s">
        <v>42</v>
      </c>
      <c r="D159" s="69"/>
      <c r="E159" s="69"/>
      <c r="F159" s="86"/>
      <c r="G159" s="86"/>
      <c r="H159" s="86">
        <f t="shared" si="21"/>
        <v>0</v>
      </c>
      <c r="I159" s="86">
        <f t="shared" si="21"/>
        <v>0</v>
      </c>
      <c r="J159" s="86"/>
      <c r="K159" s="69">
        <f t="shared" si="19"/>
        <v>0</v>
      </c>
      <c r="L159" s="123">
        <f t="shared" si="20"/>
        <v>0</v>
      </c>
      <c r="M159" s="175">
        <v>200001016</v>
      </c>
      <c r="N159" s="175">
        <v>200001016</v>
      </c>
      <c r="O159" s="136" t="s">
        <v>335</v>
      </c>
      <c r="P159" s="96" t="s">
        <v>32</v>
      </c>
      <c r="Q159" s="155"/>
      <c r="R159" s="147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spans="1:28">
      <c r="A160" s="66" t="s">
        <v>165</v>
      </c>
      <c r="B160" s="172" t="s">
        <v>336</v>
      </c>
      <c r="C160" s="68"/>
      <c r="D160" s="69"/>
      <c r="E160" s="69"/>
      <c r="F160" s="86"/>
      <c r="G160" s="86"/>
      <c r="H160" s="86">
        <f t="shared" si="21"/>
        <v>0</v>
      </c>
      <c r="I160" s="86">
        <f t="shared" si="21"/>
        <v>0</v>
      </c>
      <c r="J160" s="86"/>
      <c r="K160" s="69">
        <f t="shared" si="19"/>
        <v>0</v>
      </c>
      <c r="L160" s="123">
        <f t="shared" si="20"/>
        <v>0</v>
      </c>
      <c r="M160" s="133"/>
      <c r="N160" s="144"/>
      <c r="O160" s="144"/>
      <c r="P160" s="133"/>
      <c r="Q160" s="155"/>
      <c r="R160" s="147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spans="1:28">
      <c r="A161" s="66"/>
      <c r="B161" s="172" t="s">
        <v>337</v>
      </c>
      <c r="C161" s="68" t="s">
        <v>42</v>
      </c>
      <c r="D161" s="69"/>
      <c r="E161" s="69"/>
      <c r="F161" s="86"/>
      <c r="G161" s="86"/>
      <c r="H161" s="86">
        <f t="shared" si="21"/>
        <v>0</v>
      </c>
      <c r="I161" s="86">
        <f t="shared" si="21"/>
        <v>0</v>
      </c>
      <c r="J161" s="86"/>
      <c r="K161" s="69">
        <f t="shared" si="19"/>
        <v>0</v>
      </c>
      <c r="L161" s="123">
        <f t="shared" si="20"/>
        <v>0</v>
      </c>
      <c r="M161" s="133"/>
      <c r="N161" s="135" t="s">
        <v>667</v>
      </c>
      <c r="O161" s="136" t="s">
        <v>338</v>
      </c>
      <c r="P161" s="96" t="s">
        <v>32</v>
      </c>
      <c r="Q161" s="155"/>
      <c r="R161" s="147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spans="1:28">
      <c r="A162" s="66"/>
      <c r="B162" s="172" t="s">
        <v>339</v>
      </c>
      <c r="C162" s="68" t="s">
        <v>42</v>
      </c>
      <c r="D162" s="69"/>
      <c r="E162" s="69"/>
      <c r="F162" s="86"/>
      <c r="G162" s="86"/>
      <c r="H162" s="86">
        <f t="shared" si="21"/>
        <v>0</v>
      </c>
      <c r="I162" s="86">
        <f t="shared" si="21"/>
        <v>0</v>
      </c>
      <c r="J162" s="86"/>
      <c r="K162" s="69">
        <f t="shared" si="19"/>
        <v>0</v>
      </c>
      <c r="L162" s="123">
        <f t="shared" si="20"/>
        <v>0</v>
      </c>
      <c r="M162" s="133"/>
      <c r="N162" s="135" t="s">
        <v>668</v>
      </c>
      <c r="O162" s="136" t="s">
        <v>340</v>
      </c>
      <c r="P162" s="96" t="s">
        <v>32</v>
      </c>
      <c r="Q162" s="155"/>
      <c r="R162" s="147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spans="1:28">
      <c r="A163" s="66"/>
      <c r="B163" s="172" t="s">
        <v>341</v>
      </c>
      <c r="C163" s="68" t="s">
        <v>198</v>
      </c>
      <c r="D163" s="69"/>
      <c r="E163" s="69"/>
      <c r="F163" s="86"/>
      <c r="G163" s="86"/>
      <c r="H163" s="86">
        <f t="shared" si="21"/>
        <v>0</v>
      </c>
      <c r="I163" s="86">
        <f t="shared" si="21"/>
        <v>0</v>
      </c>
      <c r="J163" s="86"/>
      <c r="K163" s="69">
        <f t="shared" si="19"/>
        <v>0</v>
      </c>
      <c r="L163" s="123">
        <f t="shared" si="20"/>
        <v>0</v>
      </c>
      <c r="M163" s="133"/>
      <c r="N163" s="135" t="s">
        <v>669</v>
      </c>
      <c r="O163" s="136" t="s">
        <v>342</v>
      </c>
      <c r="P163" s="96" t="s">
        <v>32</v>
      </c>
      <c r="Q163" s="155"/>
      <c r="R163" s="147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spans="1:28">
      <c r="A164" s="66"/>
      <c r="B164" s="172" t="s">
        <v>343</v>
      </c>
      <c r="C164" s="68" t="s">
        <v>198</v>
      </c>
      <c r="D164" s="69"/>
      <c r="E164" s="69"/>
      <c r="F164" s="86"/>
      <c r="G164" s="86"/>
      <c r="H164" s="86">
        <f t="shared" si="21"/>
        <v>0</v>
      </c>
      <c r="I164" s="86">
        <f t="shared" si="21"/>
        <v>0</v>
      </c>
      <c r="J164" s="86"/>
      <c r="K164" s="69">
        <f t="shared" si="19"/>
        <v>0</v>
      </c>
      <c r="L164" s="123">
        <f t="shared" si="20"/>
        <v>0</v>
      </c>
      <c r="M164" s="133"/>
      <c r="N164" s="135" t="s">
        <v>670</v>
      </c>
      <c r="O164" s="136" t="s">
        <v>344</v>
      </c>
      <c r="P164" s="96" t="s">
        <v>32</v>
      </c>
      <c r="Q164" s="155"/>
      <c r="R164" s="147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spans="1:28">
      <c r="A165" s="66"/>
      <c r="B165" s="174" t="s">
        <v>345</v>
      </c>
      <c r="C165" s="162" t="s">
        <v>198</v>
      </c>
      <c r="D165" s="69"/>
      <c r="E165" s="69"/>
      <c r="F165" s="86"/>
      <c r="G165" s="86"/>
      <c r="H165" s="86">
        <f t="shared" si="21"/>
        <v>0</v>
      </c>
      <c r="I165" s="86">
        <f t="shared" si="21"/>
        <v>0</v>
      </c>
      <c r="J165" s="86"/>
      <c r="K165" s="69">
        <f t="shared" si="19"/>
        <v>0</v>
      </c>
      <c r="L165" s="123">
        <f t="shared" si="20"/>
        <v>0</v>
      </c>
      <c r="M165" s="133"/>
      <c r="N165" s="135">
        <v>200001004</v>
      </c>
      <c r="O165" s="136" t="s">
        <v>346</v>
      </c>
      <c r="P165" s="96" t="s">
        <v>32</v>
      </c>
      <c r="Q165" s="155"/>
      <c r="R165" s="147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spans="1:28">
      <c r="A166" s="66"/>
      <c r="B166" s="174" t="s">
        <v>347</v>
      </c>
      <c r="C166" s="162" t="s">
        <v>198</v>
      </c>
      <c r="D166" s="69"/>
      <c r="E166" s="69"/>
      <c r="F166" s="86"/>
      <c r="G166" s="86"/>
      <c r="H166" s="86">
        <f t="shared" si="21"/>
        <v>0</v>
      </c>
      <c r="I166" s="86">
        <f t="shared" si="21"/>
        <v>0</v>
      </c>
      <c r="J166" s="86"/>
      <c r="K166" s="69">
        <f t="shared" si="19"/>
        <v>0</v>
      </c>
      <c r="L166" s="123">
        <f t="shared" si="20"/>
        <v>0</v>
      </c>
      <c r="M166" s="133"/>
      <c r="N166" s="135" t="s">
        <v>671</v>
      </c>
      <c r="O166" s="136" t="s">
        <v>348</v>
      </c>
      <c r="P166" s="96" t="s">
        <v>32</v>
      </c>
      <c r="Q166" s="155"/>
      <c r="R166" s="147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spans="1:28">
      <c r="A167" s="66"/>
      <c r="B167" s="174" t="s">
        <v>349</v>
      </c>
      <c r="C167" s="162" t="s">
        <v>198</v>
      </c>
      <c r="D167" s="69"/>
      <c r="E167" s="69"/>
      <c r="F167" s="86"/>
      <c r="G167" s="86"/>
      <c r="H167" s="86">
        <f t="shared" si="21"/>
        <v>0</v>
      </c>
      <c r="I167" s="86">
        <f t="shared" si="21"/>
        <v>0</v>
      </c>
      <c r="J167" s="86"/>
      <c r="K167" s="69">
        <f t="shared" si="19"/>
        <v>0</v>
      </c>
      <c r="L167" s="123">
        <f t="shared" si="20"/>
        <v>0</v>
      </c>
      <c r="M167" s="133"/>
      <c r="N167" s="135" t="s">
        <v>672</v>
      </c>
      <c r="O167" s="136" t="s">
        <v>350</v>
      </c>
      <c r="P167" s="96" t="s">
        <v>32</v>
      </c>
      <c r="Q167" s="155"/>
      <c r="R167" s="147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spans="1:28">
      <c r="A168" s="66"/>
      <c r="B168" s="172" t="s">
        <v>351</v>
      </c>
      <c r="C168" s="68" t="s">
        <v>198</v>
      </c>
      <c r="D168" s="69"/>
      <c r="E168" s="69"/>
      <c r="F168" s="86"/>
      <c r="G168" s="86"/>
      <c r="H168" s="86">
        <f t="shared" si="21"/>
        <v>0</v>
      </c>
      <c r="I168" s="86">
        <f t="shared" si="21"/>
        <v>0</v>
      </c>
      <c r="J168" s="86"/>
      <c r="K168" s="69">
        <f t="shared" si="19"/>
        <v>0</v>
      </c>
      <c r="L168" s="123">
        <f t="shared" si="20"/>
        <v>0</v>
      </c>
      <c r="M168" s="133"/>
      <c r="N168" s="135" t="s">
        <v>673</v>
      </c>
      <c r="O168" s="136" t="s">
        <v>352</v>
      </c>
      <c r="P168" s="96" t="s">
        <v>32</v>
      </c>
      <c r="Q168" s="155"/>
      <c r="R168" s="147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spans="1:28">
      <c r="A169" s="66"/>
      <c r="B169" s="172" t="s">
        <v>353</v>
      </c>
      <c r="C169" s="68" t="s">
        <v>198</v>
      </c>
      <c r="D169" s="69"/>
      <c r="E169" s="69"/>
      <c r="F169" s="86"/>
      <c r="G169" s="86"/>
      <c r="H169" s="86">
        <f t="shared" si="21"/>
        <v>0</v>
      </c>
      <c r="I169" s="86">
        <f t="shared" si="21"/>
        <v>0</v>
      </c>
      <c r="J169" s="86"/>
      <c r="K169" s="69">
        <f t="shared" si="19"/>
        <v>0</v>
      </c>
      <c r="L169" s="123">
        <f t="shared" si="20"/>
        <v>0</v>
      </c>
      <c r="M169" s="133"/>
      <c r="N169" s="135" t="s">
        <v>674</v>
      </c>
      <c r="O169" s="136" t="s">
        <v>354</v>
      </c>
      <c r="P169" s="96" t="s">
        <v>32</v>
      </c>
      <c r="Q169" s="155"/>
      <c r="R169" s="147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spans="1:28">
      <c r="A170" s="66"/>
      <c r="B170" s="172" t="s">
        <v>355</v>
      </c>
      <c r="C170" s="68" t="s">
        <v>198</v>
      </c>
      <c r="D170" s="69"/>
      <c r="E170" s="69"/>
      <c r="F170" s="86"/>
      <c r="G170" s="86"/>
      <c r="H170" s="86">
        <f t="shared" si="21"/>
        <v>0</v>
      </c>
      <c r="I170" s="86">
        <f t="shared" si="21"/>
        <v>0</v>
      </c>
      <c r="J170" s="86"/>
      <c r="K170" s="69">
        <f t="shared" si="19"/>
        <v>0</v>
      </c>
      <c r="L170" s="123">
        <f t="shared" si="20"/>
        <v>0</v>
      </c>
      <c r="M170" s="133"/>
      <c r="N170" s="135" t="s">
        <v>675</v>
      </c>
      <c r="O170" s="136" t="s">
        <v>356</v>
      </c>
      <c r="P170" s="96" t="s">
        <v>32</v>
      </c>
      <c r="Q170" s="155"/>
      <c r="R170" s="147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spans="1:28">
      <c r="A171" s="66"/>
      <c r="B171" s="172" t="s">
        <v>357</v>
      </c>
      <c r="C171" s="68" t="s">
        <v>198</v>
      </c>
      <c r="D171" s="69"/>
      <c r="E171" s="69"/>
      <c r="F171" s="86"/>
      <c r="G171" s="86"/>
      <c r="H171" s="86">
        <f t="shared" si="21"/>
        <v>0</v>
      </c>
      <c r="I171" s="86">
        <f t="shared" si="21"/>
        <v>0</v>
      </c>
      <c r="J171" s="86"/>
      <c r="K171" s="69">
        <f t="shared" si="19"/>
        <v>0</v>
      </c>
      <c r="L171" s="123">
        <f t="shared" si="20"/>
        <v>0</v>
      </c>
      <c r="M171" s="133"/>
      <c r="N171" s="135" t="s">
        <v>676</v>
      </c>
      <c r="O171" s="136" t="s">
        <v>358</v>
      </c>
      <c r="P171" s="96" t="s">
        <v>32</v>
      </c>
      <c r="Q171" s="155"/>
      <c r="R171" s="147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spans="1:28">
      <c r="A172" s="66"/>
      <c r="B172" s="95" t="s">
        <v>359</v>
      </c>
      <c r="C172" s="68" t="s">
        <v>42</v>
      </c>
      <c r="D172" s="69"/>
      <c r="E172" s="69"/>
      <c r="F172" s="86"/>
      <c r="G172" s="86"/>
      <c r="H172" s="86">
        <f t="shared" si="21"/>
        <v>0</v>
      </c>
      <c r="I172" s="86">
        <f t="shared" si="21"/>
        <v>0</v>
      </c>
      <c r="J172" s="86"/>
      <c r="K172" s="69">
        <f t="shared" si="19"/>
        <v>0</v>
      </c>
      <c r="L172" s="123">
        <f t="shared" si="20"/>
        <v>0</v>
      </c>
      <c r="M172" s="133"/>
      <c r="N172" s="135" t="s">
        <v>677</v>
      </c>
      <c r="O172" s="106" t="s">
        <v>360</v>
      </c>
      <c r="P172" s="96" t="s">
        <v>32</v>
      </c>
      <c r="Q172" s="155"/>
      <c r="R172" s="147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spans="1:28">
      <c r="A173" s="66" t="s">
        <v>196</v>
      </c>
      <c r="B173" s="95" t="s">
        <v>361</v>
      </c>
      <c r="C173" s="68"/>
      <c r="D173" s="69"/>
      <c r="E173" s="69"/>
      <c r="F173" s="86"/>
      <c r="G173" s="86"/>
      <c r="H173" s="86">
        <f t="shared" si="21"/>
        <v>0</v>
      </c>
      <c r="I173" s="86">
        <f t="shared" si="21"/>
        <v>0</v>
      </c>
      <c r="J173" s="86"/>
      <c r="K173" s="69">
        <f t="shared" si="19"/>
        <v>0</v>
      </c>
      <c r="L173" s="123">
        <f t="shared" si="20"/>
        <v>0</v>
      </c>
      <c r="M173" s="133"/>
      <c r="N173" s="144"/>
      <c r="O173" s="144"/>
      <c r="P173" s="133"/>
      <c r="Q173" s="155"/>
      <c r="R173" s="147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spans="1:28">
      <c r="A174" s="66"/>
      <c r="B174" s="95" t="s">
        <v>362</v>
      </c>
      <c r="C174" s="68" t="s">
        <v>72</v>
      </c>
      <c r="D174" s="69"/>
      <c r="E174" s="69"/>
      <c r="F174" s="86"/>
      <c r="G174" s="86"/>
      <c r="H174" s="86">
        <f t="shared" si="21"/>
        <v>0</v>
      </c>
      <c r="I174" s="86">
        <f t="shared" si="21"/>
        <v>0</v>
      </c>
      <c r="J174" s="86"/>
      <c r="K174" s="69">
        <f t="shared" si="19"/>
        <v>0</v>
      </c>
      <c r="L174" s="123">
        <f t="shared" si="20"/>
        <v>0</v>
      </c>
      <c r="M174" s="133"/>
      <c r="N174" s="135" t="s">
        <v>678</v>
      </c>
      <c r="O174" s="136" t="s">
        <v>363</v>
      </c>
      <c r="P174" s="96" t="s">
        <v>32</v>
      </c>
      <c r="Q174" s="155"/>
      <c r="R174" s="147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spans="1:28">
      <c r="A175" s="66"/>
      <c r="B175" s="95" t="s">
        <v>364</v>
      </c>
      <c r="C175" s="68" t="s">
        <v>72</v>
      </c>
      <c r="D175" s="69"/>
      <c r="E175" s="69">
        <f>'BoM AE'!E93</f>
        <v>0</v>
      </c>
      <c r="F175" s="86"/>
      <c r="G175" s="86"/>
      <c r="H175" s="86">
        <f t="shared" si="21"/>
        <v>0</v>
      </c>
      <c r="I175" s="86">
        <f t="shared" si="21"/>
        <v>0</v>
      </c>
      <c r="J175" s="86"/>
      <c r="K175" s="69">
        <f t="shared" si="19"/>
        <v>0</v>
      </c>
      <c r="L175" s="123">
        <f t="shared" si="20"/>
        <v>0</v>
      </c>
      <c r="M175" s="133"/>
      <c r="N175" s="135">
        <v>500002102</v>
      </c>
      <c r="O175" s="195" t="s">
        <v>365</v>
      </c>
      <c r="P175" s="96" t="s">
        <v>27</v>
      </c>
      <c r="Q175" s="155"/>
      <c r="R175" s="147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spans="1:28">
      <c r="A176" s="66"/>
      <c r="B176" s="95" t="s">
        <v>366</v>
      </c>
      <c r="C176" s="68" t="s">
        <v>72</v>
      </c>
      <c r="D176" s="69"/>
      <c r="E176" s="69"/>
      <c r="F176" s="86"/>
      <c r="G176" s="86"/>
      <c r="H176" s="86">
        <f t="shared" si="21"/>
        <v>0</v>
      </c>
      <c r="I176" s="86">
        <f t="shared" si="21"/>
        <v>0</v>
      </c>
      <c r="J176" s="86"/>
      <c r="K176" s="69">
        <f t="shared" si="19"/>
        <v>0</v>
      </c>
      <c r="L176" s="123">
        <f t="shared" si="20"/>
        <v>0</v>
      </c>
      <c r="M176" s="133"/>
      <c r="N176" s="66">
        <v>200000710</v>
      </c>
      <c r="O176" s="106" t="s">
        <v>367</v>
      </c>
      <c r="P176" s="96" t="s">
        <v>32</v>
      </c>
      <c r="Q176" s="155"/>
      <c r="R176" s="147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spans="1:28">
      <c r="A177" s="66"/>
      <c r="B177" s="95" t="s">
        <v>368</v>
      </c>
      <c r="C177" s="68" t="s">
        <v>72</v>
      </c>
      <c r="D177" s="69"/>
      <c r="E177" s="69">
        <f>'BoM AE'!E97</f>
        <v>0</v>
      </c>
      <c r="F177" s="86"/>
      <c r="G177" s="86"/>
      <c r="H177" s="86">
        <f t="shared" si="21"/>
        <v>0</v>
      </c>
      <c r="I177" s="86">
        <f t="shared" si="21"/>
        <v>0</v>
      </c>
      <c r="J177" s="86"/>
      <c r="K177" s="69">
        <f t="shared" si="19"/>
        <v>0</v>
      </c>
      <c r="L177" s="123">
        <f t="shared" si="20"/>
        <v>0</v>
      </c>
      <c r="M177" s="133"/>
      <c r="N177" s="145">
        <v>500002101</v>
      </c>
      <c r="O177" s="196" t="s">
        <v>369</v>
      </c>
      <c r="P177" s="96" t="s">
        <v>27</v>
      </c>
      <c r="Q177" s="155"/>
      <c r="R177" s="147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spans="1:28">
      <c r="A178" s="66"/>
      <c r="B178" s="95" t="s">
        <v>370</v>
      </c>
      <c r="C178" s="68" t="s">
        <v>72</v>
      </c>
      <c r="D178" s="69"/>
      <c r="E178" s="69"/>
      <c r="F178" s="86"/>
      <c r="G178" s="86"/>
      <c r="H178" s="86">
        <f t="shared" si="21"/>
        <v>0</v>
      </c>
      <c r="I178" s="86">
        <f t="shared" si="21"/>
        <v>0</v>
      </c>
      <c r="J178" s="86"/>
      <c r="K178" s="69">
        <f t="shared" si="19"/>
        <v>0</v>
      </c>
      <c r="L178" s="123">
        <f t="shared" si="20"/>
        <v>0</v>
      </c>
      <c r="M178" s="133"/>
      <c r="N178" s="135" t="s">
        <v>679</v>
      </c>
      <c r="O178" s="136" t="s">
        <v>371</v>
      </c>
      <c r="P178" s="96" t="s">
        <v>32</v>
      </c>
      <c r="Q178" s="155"/>
      <c r="R178" s="147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spans="1:28">
      <c r="A179" s="66"/>
      <c r="B179" s="95" t="s">
        <v>372</v>
      </c>
      <c r="C179" s="68" t="s">
        <v>72</v>
      </c>
      <c r="D179" s="69"/>
      <c r="E179" s="69">
        <f>'BoM AE'!E94</f>
        <v>0</v>
      </c>
      <c r="F179" s="86"/>
      <c r="G179" s="86"/>
      <c r="H179" s="86">
        <f t="shared" si="21"/>
        <v>0</v>
      </c>
      <c r="I179" s="86">
        <f t="shared" si="21"/>
        <v>0</v>
      </c>
      <c r="J179" s="86"/>
      <c r="K179" s="69">
        <f t="shared" si="19"/>
        <v>0</v>
      </c>
      <c r="L179" s="123">
        <f t="shared" si="20"/>
        <v>0</v>
      </c>
      <c r="M179" s="133"/>
      <c r="N179" s="135" t="s">
        <v>680</v>
      </c>
      <c r="O179" s="136" t="s">
        <v>373</v>
      </c>
      <c r="P179" s="96" t="s">
        <v>27</v>
      </c>
      <c r="Q179" s="155"/>
      <c r="R179" s="147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spans="1:28">
      <c r="A180" s="66" t="s">
        <v>374</v>
      </c>
      <c r="B180" s="95" t="s">
        <v>375</v>
      </c>
      <c r="C180" s="68" t="s">
        <v>72</v>
      </c>
      <c r="D180" s="69"/>
      <c r="E180" s="69"/>
      <c r="F180" s="86"/>
      <c r="G180" s="86"/>
      <c r="H180" s="86">
        <f t="shared" si="21"/>
        <v>0</v>
      </c>
      <c r="I180" s="86">
        <f t="shared" si="21"/>
        <v>0</v>
      </c>
      <c r="J180" s="86"/>
      <c r="K180" s="69">
        <f t="shared" si="19"/>
        <v>0</v>
      </c>
      <c r="L180" s="123">
        <f t="shared" si="20"/>
        <v>0</v>
      </c>
      <c r="M180" s="133"/>
      <c r="N180" s="66">
        <v>200000613</v>
      </c>
      <c r="O180" s="106" t="s">
        <v>376</v>
      </c>
      <c r="P180" s="96" t="s">
        <v>32</v>
      </c>
      <c r="Q180" s="155"/>
      <c r="R180" s="147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spans="1:28">
      <c r="A181" s="66"/>
      <c r="B181" s="95" t="s">
        <v>377</v>
      </c>
      <c r="C181" s="68" t="s">
        <v>72</v>
      </c>
      <c r="D181" s="69"/>
      <c r="E181" s="69">
        <f>'BoM AE'!E98</f>
        <v>0</v>
      </c>
      <c r="F181" s="86"/>
      <c r="G181" s="86"/>
      <c r="H181" s="86">
        <f t="shared" si="21"/>
        <v>0</v>
      </c>
      <c r="I181" s="86">
        <f t="shared" si="21"/>
        <v>0</v>
      </c>
      <c r="J181" s="86"/>
      <c r="K181" s="69">
        <f t="shared" si="19"/>
        <v>0</v>
      </c>
      <c r="L181" s="123">
        <f t="shared" si="20"/>
        <v>0</v>
      </c>
      <c r="M181" s="133"/>
      <c r="N181" s="135" t="s">
        <v>681</v>
      </c>
      <c r="O181" s="136" t="s">
        <v>378</v>
      </c>
      <c r="P181" s="96" t="s">
        <v>27</v>
      </c>
      <c r="Q181" s="155"/>
      <c r="R181" s="147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spans="1:28">
      <c r="A182" s="66"/>
      <c r="B182" s="95" t="s">
        <v>379</v>
      </c>
      <c r="C182" s="68" t="s">
        <v>72</v>
      </c>
      <c r="D182" s="69"/>
      <c r="E182" s="69"/>
      <c r="F182" s="86"/>
      <c r="G182" s="86"/>
      <c r="H182" s="86">
        <f t="shared" si="21"/>
        <v>0</v>
      </c>
      <c r="I182" s="86">
        <f t="shared" si="21"/>
        <v>0</v>
      </c>
      <c r="J182" s="86"/>
      <c r="K182" s="69">
        <f t="shared" si="19"/>
        <v>0</v>
      </c>
      <c r="L182" s="123">
        <f t="shared" si="20"/>
        <v>0</v>
      </c>
      <c r="M182" s="133"/>
      <c r="N182" s="135" t="s">
        <v>682</v>
      </c>
      <c r="O182" s="136" t="s">
        <v>380</v>
      </c>
      <c r="P182" s="96" t="s">
        <v>32</v>
      </c>
      <c r="Q182" s="155"/>
      <c r="R182" s="147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spans="1:28">
      <c r="A183" s="66"/>
      <c r="B183" s="95" t="s">
        <v>381</v>
      </c>
      <c r="C183" s="68" t="s">
        <v>72</v>
      </c>
      <c r="D183" s="69"/>
      <c r="E183" s="69">
        <f>'BoM AE'!E95</f>
        <v>0</v>
      </c>
      <c r="F183" s="86"/>
      <c r="G183" s="86"/>
      <c r="H183" s="86">
        <f t="shared" si="21"/>
        <v>0</v>
      </c>
      <c r="I183" s="86">
        <f t="shared" si="21"/>
        <v>0</v>
      </c>
      <c r="J183" s="86"/>
      <c r="K183" s="69">
        <f t="shared" si="19"/>
        <v>0</v>
      </c>
      <c r="L183" s="123">
        <f t="shared" si="20"/>
        <v>0</v>
      </c>
      <c r="M183" s="133"/>
      <c r="N183" s="135" t="s">
        <v>683</v>
      </c>
      <c r="O183" s="136" t="s">
        <v>382</v>
      </c>
      <c r="P183" s="96" t="s">
        <v>27</v>
      </c>
      <c r="Q183" s="155"/>
      <c r="R183" s="147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spans="1:28">
      <c r="A184" s="66"/>
      <c r="B184" s="95" t="s">
        <v>383</v>
      </c>
      <c r="C184" s="68" t="s">
        <v>72</v>
      </c>
      <c r="D184" s="69"/>
      <c r="E184" s="69"/>
      <c r="F184" s="86"/>
      <c r="G184" s="86"/>
      <c r="H184" s="86">
        <f t="shared" si="21"/>
        <v>0</v>
      </c>
      <c r="I184" s="86">
        <f t="shared" si="21"/>
        <v>0</v>
      </c>
      <c r="J184" s="86"/>
      <c r="K184" s="69">
        <f t="shared" si="19"/>
        <v>0</v>
      </c>
      <c r="L184" s="123">
        <f t="shared" si="20"/>
        <v>0</v>
      </c>
      <c r="M184" s="133"/>
      <c r="N184" s="135" t="s">
        <v>684</v>
      </c>
      <c r="O184" s="136" t="s">
        <v>384</v>
      </c>
      <c r="P184" s="96" t="s">
        <v>32</v>
      </c>
      <c r="Q184" s="155"/>
      <c r="R184" s="147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spans="1:28">
      <c r="A185" s="66"/>
      <c r="B185" s="95" t="s">
        <v>385</v>
      </c>
      <c r="C185" s="68" t="s">
        <v>72</v>
      </c>
      <c r="D185" s="69"/>
      <c r="E185" s="69">
        <f>'BoM AE'!E99</f>
        <v>0</v>
      </c>
      <c r="F185" s="86"/>
      <c r="G185" s="86"/>
      <c r="H185" s="86">
        <f t="shared" si="21"/>
        <v>0</v>
      </c>
      <c r="I185" s="86">
        <f t="shared" si="21"/>
        <v>0</v>
      </c>
      <c r="J185" s="86"/>
      <c r="K185" s="69">
        <f t="shared" si="19"/>
        <v>0</v>
      </c>
      <c r="L185" s="123">
        <f t="shared" si="20"/>
        <v>0</v>
      </c>
      <c r="M185" s="133"/>
      <c r="N185" s="135" t="s">
        <v>685</v>
      </c>
      <c r="O185" s="136" t="s">
        <v>386</v>
      </c>
      <c r="P185" s="96" t="s">
        <v>27</v>
      </c>
      <c r="Q185" s="155"/>
      <c r="R185" s="147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spans="1:28">
      <c r="A186" s="66"/>
      <c r="B186" s="95" t="s">
        <v>387</v>
      </c>
      <c r="C186" s="68" t="s">
        <v>72</v>
      </c>
      <c r="D186" s="69"/>
      <c r="E186" s="69"/>
      <c r="F186" s="86"/>
      <c r="G186" s="86"/>
      <c r="H186" s="86"/>
      <c r="I186" s="86"/>
      <c r="J186" s="86"/>
      <c r="K186" s="69">
        <f>D186+E186</f>
        <v>0</v>
      </c>
      <c r="L186" s="123">
        <f>F186+G186</f>
        <v>0</v>
      </c>
      <c r="M186" s="133"/>
      <c r="N186" s="135">
        <v>500003621</v>
      </c>
      <c r="O186" s="136" t="s">
        <v>388</v>
      </c>
      <c r="P186" s="96"/>
      <c r="Q186" s="155"/>
      <c r="R186" s="147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spans="1:28">
      <c r="A187" s="66"/>
      <c r="B187" s="95" t="s">
        <v>389</v>
      </c>
      <c r="C187" s="68" t="s">
        <v>72</v>
      </c>
      <c r="D187" s="69"/>
      <c r="E187" s="69"/>
      <c r="F187" s="86"/>
      <c r="G187" s="86"/>
      <c r="H187" s="86"/>
      <c r="I187" s="86"/>
      <c r="J187" s="86"/>
      <c r="K187" s="69">
        <f>D187+E187</f>
        <v>0</v>
      </c>
      <c r="L187" s="123">
        <f>F187+G187</f>
        <v>0</v>
      </c>
      <c r="M187" s="133"/>
      <c r="N187" s="135">
        <v>500003622</v>
      </c>
      <c r="O187" s="136" t="s">
        <v>390</v>
      </c>
      <c r="P187" s="96"/>
      <c r="Q187" s="155"/>
      <c r="R187" s="147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spans="1:28">
      <c r="A188" s="66"/>
      <c r="B188" s="95" t="s">
        <v>391</v>
      </c>
      <c r="C188" s="68" t="s">
        <v>198</v>
      </c>
      <c r="D188" s="69"/>
      <c r="E188" s="69">
        <f>'BoM AE'!E100</f>
        <v>0</v>
      </c>
      <c r="F188" s="86"/>
      <c r="G188" s="86"/>
      <c r="H188" s="86">
        <f>D188*F188</f>
        <v>0</v>
      </c>
      <c r="I188" s="86">
        <f>E188*G188</f>
        <v>0</v>
      </c>
      <c r="J188" s="86"/>
      <c r="K188" s="69">
        <f t="shared" ref="K188:K205" si="22">D188+E188</f>
        <v>0</v>
      </c>
      <c r="L188" s="123">
        <f t="shared" ref="L188:L205" si="23">F188+G188</f>
        <v>0</v>
      </c>
      <c r="M188" s="133"/>
      <c r="N188" s="135" t="s">
        <v>686</v>
      </c>
      <c r="O188" s="136" t="s">
        <v>392</v>
      </c>
      <c r="P188" s="96" t="s">
        <v>32</v>
      </c>
      <c r="Q188" s="155"/>
      <c r="R188" s="147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spans="1:28">
      <c r="A189" s="66" t="s">
        <v>393</v>
      </c>
      <c r="B189" s="95" t="s">
        <v>394</v>
      </c>
      <c r="C189" s="68" t="s">
        <v>72</v>
      </c>
      <c r="D189" s="69"/>
      <c r="E189" s="69"/>
      <c r="F189" s="86"/>
      <c r="G189" s="86"/>
      <c r="H189" s="86">
        <f t="shared" ref="H189:I205" si="24">D189*F189</f>
        <v>0</v>
      </c>
      <c r="I189" s="86">
        <f t="shared" si="24"/>
        <v>0</v>
      </c>
      <c r="J189" s="86"/>
      <c r="K189" s="69">
        <f t="shared" si="22"/>
        <v>0</v>
      </c>
      <c r="L189" s="123">
        <f t="shared" si="23"/>
        <v>0</v>
      </c>
      <c r="M189" s="133"/>
      <c r="N189" s="135">
        <v>200001034</v>
      </c>
      <c r="O189" s="136" t="s">
        <v>395</v>
      </c>
      <c r="P189" s="96" t="s">
        <v>32</v>
      </c>
      <c r="Q189" s="155"/>
      <c r="R189" s="147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spans="1:28">
      <c r="A190" s="66" t="s">
        <v>203</v>
      </c>
      <c r="B190" s="172" t="s">
        <v>396</v>
      </c>
      <c r="C190" s="194" t="s">
        <v>42</v>
      </c>
      <c r="D190" s="69"/>
      <c r="E190" s="69"/>
      <c r="F190" s="86"/>
      <c r="G190" s="86"/>
      <c r="H190" s="86">
        <f t="shared" si="24"/>
        <v>0</v>
      </c>
      <c r="I190" s="86">
        <f t="shared" si="24"/>
        <v>0</v>
      </c>
      <c r="J190" s="86"/>
      <c r="K190" s="69">
        <f t="shared" si="22"/>
        <v>0</v>
      </c>
      <c r="L190" s="123">
        <f t="shared" si="23"/>
        <v>0</v>
      </c>
      <c r="M190" s="133"/>
      <c r="N190" s="66">
        <v>200000181</v>
      </c>
      <c r="O190" s="106" t="s">
        <v>397</v>
      </c>
      <c r="P190" s="96" t="s">
        <v>32</v>
      </c>
      <c r="Q190" s="155"/>
      <c r="R190" s="147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spans="1:28">
      <c r="A191" s="66" t="s">
        <v>209</v>
      </c>
      <c r="B191" s="172" t="s">
        <v>398</v>
      </c>
      <c r="C191" s="68" t="s">
        <v>198</v>
      </c>
      <c r="D191" s="69"/>
      <c r="E191" s="69"/>
      <c r="F191" s="86"/>
      <c r="G191" s="86"/>
      <c r="H191" s="86">
        <f t="shared" si="24"/>
        <v>0</v>
      </c>
      <c r="I191" s="86">
        <f t="shared" si="24"/>
        <v>0</v>
      </c>
      <c r="J191" s="86"/>
      <c r="K191" s="69">
        <f t="shared" si="22"/>
        <v>0</v>
      </c>
      <c r="L191" s="123">
        <f t="shared" si="23"/>
        <v>0</v>
      </c>
      <c r="M191" s="133"/>
      <c r="N191" s="66">
        <v>200000160</v>
      </c>
      <c r="O191" s="195" t="s">
        <v>399</v>
      </c>
      <c r="P191" s="96" t="s">
        <v>32</v>
      </c>
      <c r="Q191" s="155"/>
      <c r="R191" s="147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spans="1:28">
      <c r="A192" s="66" t="s">
        <v>212</v>
      </c>
      <c r="B192" s="172" t="s">
        <v>400</v>
      </c>
      <c r="C192" s="194" t="s">
        <v>42</v>
      </c>
      <c r="D192" s="69"/>
      <c r="E192" s="69"/>
      <c r="F192" s="86"/>
      <c r="G192" s="86"/>
      <c r="H192" s="86">
        <f t="shared" si="24"/>
        <v>0</v>
      </c>
      <c r="I192" s="86">
        <f t="shared" si="24"/>
        <v>0</v>
      </c>
      <c r="J192" s="86"/>
      <c r="K192" s="69">
        <f t="shared" si="22"/>
        <v>0</v>
      </c>
      <c r="L192" s="123">
        <f t="shared" si="23"/>
        <v>0</v>
      </c>
      <c r="M192" s="133"/>
      <c r="N192" s="66">
        <v>200000310</v>
      </c>
      <c r="O192" s="106" t="s">
        <v>401</v>
      </c>
      <c r="P192" s="96" t="s">
        <v>32</v>
      </c>
      <c r="Q192" s="155"/>
      <c r="R192" s="147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spans="1:28">
      <c r="A193" s="66" t="s">
        <v>215</v>
      </c>
      <c r="B193" s="172" t="s">
        <v>402</v>
      </c>
      <c r="C193" s="68" t="s">
        <v>42</v>
      </c>
      <c r="D193" s="69"/>
      <c r="E193" s="69"/>
      <c r="F193" s="86"/>
      <c r="G193" s="86"/>
      <c r="H193" s="86">
        <f t="shared" si="24"/>
        <v>0</v>
      </c>
      <c r="I193" s="86">
        <f t="shared" si="24"/>
        <v>0</v>
      </c>
      <c r="J193" s="86"/>
      <c r="K193" s="69">
        <f t="shared" si="22"/>
        <v>0</v>
      </c>
      <c r="L193" s="123">
        <f t="shared" si="23"/>
        <v>0</v>
      </c>
      <c r="M193" s="133"/>
      <c r="N193" s="135" t="s">
        <v>687</v>
      </c>
      <c r="O193" s="136" t="s">
        <v>403</v>
      </c>
      <c r="P193" s="96" t="s">
        <v>32</v>
      </c>
      <c r="Q193" s="155"/>
      <c r="R193" s="147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spans="1:28">
      <c r="A194" s="66" t="s">
        <v>218</v>
      </c>
      <c r="B194" s="172" t="s">
        <v>404</v>
      </c>
      <c r="C194" s="68" t="s">
        <v>198</v>
      </c>
      <c r="D194" s="69"/>
      <c r="E194" s="69"/>
      <c r="F194" s="86"/>
      <c r="G194" s="86"/>
      <c r="H194" s="86">
        <f t="shared" si="24"/>
        <v>0</v>
      </c>
      <c r="I194" s="86">
        <f t="shared" si="24"/>
        <v>0</v>
      </c>
      <c r="J194" s="86"/>
      <c r="K194" s="69">
        <f t="shared" si="22"/>
        <v>0</v>
      </c>
      <c r="L194" s="123">
        <f t="shared" si="23"/>
        <v>0</v>
      </c>
      <c r="M194" s="133"/>
      <c r="N194" s="66">
        <v>500000993</v>
      </c>
      <c r="O194" s="106" t="s">
        <v>405</v>
      </c>
      <c r="P194" s="96" t="s">
        <v>27</v>
      </c>
      <c r="Q194" s="155"/>
      <c r="R194" s="147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spans="1:28">
      <c r="A195" s="66" t="s">
        <v>221</v>
      </c>
      <c r="B195" s="172" t="s">
        <v>406</v>
      </c>
      <c r="C195" s="68" t="s">
        <v>198</v>
      </c>
      <c r="D195" s="69"/>
      <c r="E195" s="69"/>
      <c r="F195" s="86"/>
      <c r="G195" s="86"/>
      <c r="H195" s="86">
        <f t="shared" si="24"/>
        <v>0</v>
      </c>
      <c r="I195" s="86">
        <f t="shared" si="24"/>
        <v>0</v>
      </c>
      <c r="J195" s="86"/>
      <c r="K195" s="69">
        <f t="shared" si="22"/>
        <v>0</v>
      </c>
      <c r="L195" s="123">
        <f t="shared" si="23"/>
        <v>0</v>
      </c>
      <c r="M195" s="133"/>
      <c r="N195" s="135" t="s">
        <v>688</v>
      </c>
      <c r="O195" s="136" t="s">
        <v>407</v>
      </c>
      <c r="P195" s="96" t="s">
        <v>27</v>
      </c>
      <c r="Q195" s="155"/>
      <c r="R195" s="147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spans="1:28">
      <c r="A196" s="66" t="s">
        <v>224</v>
      </c>
      <c r="B196" s="197" t="s">
        <v>408</v>
      </c>
      <c r="C196" s="68" t="s">
        <v>72</v>
      </c>
      <c r="D196" s="69"/>
      <c r="E196" s="69"/>
      <c r="F196" s="86"/>
      <c r="G196" s="86"/>
      <c r="H196" s="86">
        <f t="shared" si="24"/>
        <v>0</v>
      </c>
      <c r="I196" s="86">
        <f t="shared" si="24"/>
        <v>0</v>
      </c>
      <c r="J196" s="86"/>
      <c r="K196" s="69">
        <f t="shared" si="22"/>
        <v>0</v>
      </c>
      <c r="L196" s="123">
        <f t="shared" si="23"/>
        <v>0</v>
      </c>
      <c r="M196" s="133"/>
      <c r="N196" s="66">
        <v>500002103</v>
      </c>
      <c r="O196" s="136" t="s">
        <v>409</v>
      </c>
      <c r="P196" s="96" t="s">
        <v>27</v>
      </c>
      <c r="Q196" s="155"/>
      <c r="R196" s="147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spans="1:28">
      <c r="A197" s="66" t="s">
        <v>410</v>
      </c>
      <c r="B197" s="197" t="s">
        <v>411</v>
      </c>
      <c r="C197" s="198" t="s">
        <v>42</v>
      </c>
      <c r="D197" s="69"/>
      <c r="E197" s="69"/>
      <c r="F197" s="86"/>
      <c r="G197" s="86"/>
      <c r="H197" s="86">
        <f t="shared" si="24"/>
        <v>0</v>
      </c>
      <c r="I197" s="86">
        <f t="shared" si="24"/>
        <v>0</v>
      </c>
      <c r="J197" s="86"/>
      <c r="K197" s="69">
        <f t="shared" si="22"/>
        <v>0</v>
      </c>
      <c r="L197" s="123">
        <f t="shared" si="23"/>
        <v>0</v>
      </c>
      <c r="M197" s="133" t="s">
        <v>412</v>
      </c>
      <c r="N197" s="66" t="s">
        <v>412</v>
      </c>
      <c r="O197" s="125" t="s">
        <v>413</v>
      </c>
      <c r="P197" s="96" t="s">
        <v>27</v>
      </c>
      <c r="Q197" s="155"/>
      <c r="R197" s="147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spans="1:28">
      <c r="A198" s="66" t="s">
        <v>414</v>
      </c>
      <c r="B198" s="197" t="s">
        <v>415</v>
      </c>
      <c r="C198" s="198" t="s">
        <v>42</v>
      </c>
      <c r="D198" s="69"/>
      <c r="E198" s="69"/>
      <c r="F198" s="86"/>
      <c r="G198" s="86"/>
      <c r="H198" s="86">
        <f t="shared" si="24"/>
        <v>0</v>
      </c>
      <c r="I198" s="86">
        <f t="shared" si="24"/>
        <v>0</v>
      </c>
      <c r="J198" s="86"/>
      <c r="K198" s="69">
        <f t="shared" si="22"/>
        <v>0</v>
      </c>
      <c r="L198" s="123">
        <f t="shared" si="23"/>
        <v>0</v>
      </c>
      <c r="M198" s="133" t="s">
        <v>416</v>
      </c>
      <c r="N198" s="66" t="s">
        <v>416</v>
      </c>
      <c r="O198" s="125" t="s">
        <v>413</v>
      </c>
      <c r="P198" s="96" t="s">
        <v>27</v>
      </c>
      <c r="Q198" s="155"/>
      <c r="R198" s="147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spans="1:28">
      <c r="A199" s="66" t="s">
        <v>417</v>
      </c>
      <c r="B199" s="197" t="s">
        <v>418</v>
      </c>
      <c r="C199" s="198" t="s">
        <v>42</v>
      </c>
      <c r="D199" s="69"/>
      <c r="E199" s="69"/>
      <c r="F199" s="86"/>
      <c r="G199" s="86"/>
      <c r="H199" s="86">
        <f t="shared" si="24"/>
        <v>0</v>
      </c>
      <c r="I199" s="86">
        <f t="shared" si="24"/>
        <v>0</v>
      </c>
      <c r="J199" s="86"/>
      <c r="K199" s="69">
        <f t="shared" si="22"/>
        <v>0</v>
      </c>
      <c r="L199" s="123">
        <f t="shared" si="23"/>
        <v>0</v>
      </c>
      <c r="M199" s="133" t="s">
        <v>419</v>
      </c>
      <c r="N199" s="66" t="s">
        <v>419</v>
      </c>
      <c r="O199" s="125" t="s">
        <v>420</v>
      </c>
      <c r="P199" s="96" t="s">
        <v>27</v>
      </c>
      <c r="Q199" s="155"/>
      <c r="R199" s="147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spans="1:28">
      <c r="A200" s="66" t="s">
        <v>421</v>
      </c>
      <c r="B200" s="197" t="s">
        <v>422</v>
      </c>
      <c r="C200" s="198" t="s">
        <v>42</v>
      </c>
      <c r="D200" s="69"/>
      <c r="E200" s="69"/>
      <c r="F200" s="86"/>
      <c r="G200" s="86"/>
      <c r="H200" s="86">
        <f t="shared" si="24"/>
        <v>0</v>
      </c>
      <c r="I200" s="86">
        <f t="shared" si="24"/>
        <v>0</v>
      </c>
      <c r="J200" s="86"/>
      <c r="K200" s="69">
        <f t="shared" si="22"/>
        <v>0</v>
      </c>
      <c r="L200" s="123">
        <f t="shared" si="23"/>
        <v>0</v>
      </c>
      <c r="M200" s="133" t="s">
        <v>423</v>
      </c>
      <c r="N200" s="66" t="s">
        <v>423</v>
      </c>
      <c r="O200" s="125" t="s">
        <v>413</v>
      </c>
      <c r="P200" s="96" t="s">
        <v>27</v>
      </c>
      <c r="Q200" s="155"/>
      <c r="R200" s="147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spans="1:28">
      <c r="A201" s="66" t="s">
        <v>200</v>
      </c>
      <c r="B201" s="197" t="s">
        <v>424</v>
      </c>
      <c r="C201" s="198" t="s">
        <v>42</v>
      </c>
      <c r="D201" s="69"/>
      <c r="E201" s="69"/>
      <c r="F201" s="86"/>
      <c r="G201" s="86"/>
      <c r="H201" s="86">
        <f t="shared" si="24"/>
        <v>0</v>
      </c>
      <c r="I201" s="86">
        <f t="shared" si="24"/>
        <v>0</v>
      </c>
      <c r="J201" s="86"/>
      <c r="K201" s="69">
        <f t="shared" si="22"/>
        <v>0</v>
      </c>
      <c r="L201" s="123">
        <f t="shared" si="23"/>
        <v>0</v>
      </c>
      <c r="M201" s="133" t="s">
        <v>425</v>
      </c>
      <c r="N201" s="66" t="s">
        <v>425</v>
      </c>
      <c r="O201" s="125" t="s">
        <v>420</v>
      </c>
      <c r="P201" s="96" t="s">
        <v>27</v>
      </c>
      <c r="Q201" s="155"/>
      <c r="R201" s="147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spans="1:28">
      <c r="A202" s="66" t="s">
        <v>426</v>
      </c>
      <c r="B202" s="197" t="s">
        <v>427</v>
      </c>
      <c r="C202" s="198" t="s">
        <v>42</v>
      </c>
      <c r="D202" s="69"/>
      <c r="E202" s="69"/>
      <c r="F202" s="86"/>
      <c r="G202" s="86"/>
      <c r="H202" s="86">
        <f t="shared" si="24"/>
        <v>0</v>
      </c>
      <c r="I202" s="86">
        <f t="shared" si="24"/>
        <v>0</v>
      </c>
      <c r="J202" s="86"/>
      <c r="K202" s="69">
        <f t="shared" si="22"/>
        <v>0</v>
      </c>
      <c r="L202" s="123">
        <f t="shared" si="23"/>
        <v>0</v>
      </c>
      <c r="M202" s="133" t="s">
        <v>428</v>
      </c>
      <c r="N202" s="66" t="s">
        <v>428</v>
      </c>
      <c r="O202" s="125" t="s">
        <v>420</v>
      </c>
      <c r="P202" s="96" t="s">
        <v>27</v>
      </c>
      <c r="Q202" s="155"/>
      <c r="R202" s="147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spans="1:28">
      <c r="A203" s="66" t="s">
        <v>429</v>
      </c>
      <c r="B203" s="197" t="s">
        <v>430</v>
      </c>
      <c r="C203" s="198" t="s">
        <v>42</v>
      </c>
      <c r="D203" s="69"/>
      <c r="E203" s="69"/>
      <c r="F203" s="86"/>
      <c r="G203" s="86"/>
      <c r="H203" s="86">
        <f t="shared" si="24"/>
        <v>0</v>
      </c>
      <c r="I203" s="86">
        <f t="shared" si="24"/>
        <v>0</v>
      </c>
      <c r="J203" s="86"/>
      <c r="K203" s="69">
        <f t="shared" si="22"/>
        <v>0</v>
      </c>
      <c r="L203" s="123">
        <f t="shared" si="23"/>
        <v>0</v>
      </c>
      <c r="M203" s="133" t="s">
        <v>431</v>
      </c>
      <c r="N203" s="66" t="s">
        <v>431</v>
      </c>
      <c r="O203" s="125" t="s">
        <v>420</v>
      </c>
      <c r="P203" s="96" t="s">
        <v>27</v>
      </c>
      <c r="Q203" s="155"/>
      <c r="R203" s="147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spans="1:28">
      <c r="A204" s="66" t="s">
        <v>432</v>
      </c>
      <c r="B204" s="197" t="s">
        <v>433</v>
      </c>
      <c r="C204" s="198" t="s">
        <v>42</v>
      </c>
      <c r="D204" s="69"/>
      <c r="E204" s="69">
        <v>0</v>
      </c>
      <c r="F204" s="199"/>
      <c r="G204" s="200"/>
      <c r="H204" s="199">
        <f t="shared" si="24"/>
        <v>0</v>
      </c>
      <c r="I204" s="199">
        <f t="shared" si="24"/>
        <v>0</v>
      </c>
      <c r="J204" s="199"/>
      <c r="K204" s="69">
        <f t="shared" si="22"/>
        <v>0</v>
      </c>
      <c r="L204" s="123">
        <f t="shared" si="23"/>
        <v>0</v>
      </c>
      <c r="M204" s="144">
        <v>500002155</v>
      </c>
      <c r="N204" s="66">
        <v>500002155</v>
      </c>
      <c r="O204" s="125" t="s">
        <v>420</v>
      </c>
      <c r="P204" s="96" t="s">
        <v>27</v>
      </c>
      <c r="Q204" s="155"/>
      <c r="R204" s="147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spans="1:28">
      <c r="A205" s="66" t="s">
        <v>434</v>
      </c>
      <c r="B205" s="197" t="s">
        <v>435</v>
      </c>
      <c r="C205" s="198" t="s">
        <v>42</v>
      </c>
      <c r="D205" s="69"/>
      <c r="E205" s="69"/>
      <c r="F205" s="86"/>
      <c r="G205" s="86"/>
      <c r="H205" s="86">
        <f t="shared" si="24"/>
        <v>0</v>
      </c>
      <c r="I205" s="86">
        <f t="shared" si="24"/>
        <v>0</v>
      </c>
      <c r="J205" s="86"/>
      <c r="K205" s="69">
        <f t="shared" si="22"/>
        <v>0</v>
      </c>
      <c r="L205" s="123">
        <f t="shared" si="23"/>
        <v>0</v>
      </c>
      <c r="M205" s="133" t="s">
        <v>436</v>
      </c>
      <c r="N205" s="66" t="s">
        <v>436</v>
      </c>
      <c r="O205" s="125" t="s">
        <v>413</v>
      </c>
      <c r="P205" s="96" t="s">
        <v>27</v>
      </c>
      <c r="Q205" s="155"/>
      <c r="R205" s="147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s="37" customFormat="1" spans="1:28">
      <c r="A206" s="165" t="s">
        <v>437</v>
      </c>
      <c r="B206" s="166"/>
      <c r="C206" s="166"/>
      <c r="D206" s="78"/>
      <c r="E206" s="78"/>
      <c r="F206" s="79"/>
      <c r="G206" s="79"/>
      <c r="H206" s="80">
        <f>SUM(H109:H205)</f>
        <v>0</v>
      </c>
      <c r="I206" s="80">
        <f>SUM(I109:I205)</f>
        <v>0</v>
      </c>
      <c r="J206" s="80">
        <f>H206+I206</f>
        <v>0</v>
      </c>
      <c r="K206" s="80"/>
      <c r="L206" s="80"/>
      <c r="M206" s="80">
        <f>I206</f>
        <v>0</v>
      </c>
      <c r="N206" s="183"/>
      <c r="O206" s="183"/>
      <c r="P206" s="80"/>
      <c r="Q206" s="156"/>
      <c r="R206" s="157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spans="1:18">
      <c r="A207" s="56"/>
      <c r="B207" s="201"/>
      <c r="C207" s="202"/>
      <c r="D207" s="85"/>
      <c r="E207" s="85"/>
      <c r="F207" s="86"/>
      <c r="G207" s="86"/>
      <c r="H207" s="203"/>
      <c r="I207" s="203"/>
      <c r="J207" s="203"/>
      <c r="K207" s="203"/>
      <c r="L207" s="203"/>
      <c r="M207" s="203"/>
      <c r="N207" s="217"/>
      <c r="O207" s="217"/>
      <c r="P207" s="218"/>
      <c r="Q207" s="156"/>
      <c r="R207" s="157"/>
    </row>
    <row r="208" s="36" customFormat="1" spans="1:28">
      <c r="A208" s="61">
        <v>2.3</v>
      </c>
      <c r="B208" s="171" t="s">
        <v>438</v>
      </c>
      <c r="C208" s="63"/>
      <c r="D208" s="93"/>
      <c r="E208" s="93"/>
      <c r="F208" s="63"/>
      <c r="G208" s="63"/>
      <c r="H208" s="63"/>
      <c r="I208" s="63"/>
      <c r="J208" s="122"/>
      <c r="K208" s="63"/>
      <c r="L208" s="63"/>
      <c r="M208" s="65"/>
      <c r="N208" s="122"/>
      <c r="O208" s="122"/>
      <c r="P208" s="65"/>
      <c r="Q208" s="155"/>
      <c r="R208" s="147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spans="1:18">
      <c r="A209" s="144" t="s">
        <v>39</v>
      </c>
      <c r="B209" s="95" t="s">
        <v>439</v>
      </c>
      <c r="C209" s="162" t="s">
        <v>72</v>
      </c>
      <c r="D209" s="123"/>
      <c r="E209" s="123"/>
      <c r="F209" s="71"/>
      <c r="G209" s="97"/>
      <c r="H209" s="204">
        <f>D209*F209</f>
        <v>0</v>
      </c>
      <c r="I209" s="204">
        <f>G209*G209</f>
        <v>0</v>
      </c>
      <c r="J209" s="219"/>
      <c r="K209" s="123">
        <f>D209+E209</f>
        <v>0</v>
      </c>
      <c r="L209" s="123">
        <f>F209+G209</f>
        <v>0</v>
      </c>
      <c r="M209" s="133"/>
      <c r="N209" s="144">
        <v>200000187</v>
      </c>
      <c r="O209" s="187" t="s">
        <v>440</v>
      </c>
      <c r="P209" s="96" t="s">
        <v>32</v>
      </c>
      <c r="Q209" s="155"/>
      <c r="R209" s="147"/>
    </row>
    <row r="210" spans="1:18">
      <c r="A210" s="144"/>
      <c r="B210" s="95" t="s">
        <v>441</v>
      </c>
      <c r="C210" s="162" t="s">
        <v>72</v>
      </c>
      <c r="D210" s="123"/>
      <c r="E210" s="123"/>
      <c r="F210" s="97"/>
      <c r="G210" s="71"/>
      <c r="H210" s="204">
        <f>F210*F210</f>
        <v>0</v>
      </c>
      <c r="I210" s="204">
        <f>G210*E210</f>
        <v>0</v>
      </c>
      <c r="J210" s="219"/>
      <c r="K210" s="123">
        <f t="shared" ref="K210:K231" si="25">D210+E210</f>
        <v>0</v>
      </c>
      <c r="L210" s="123">
        <f t="shared" ref="L210:L231" si="26">F210+G210</f>
        <v>0</v>
      </c>
      <c r="M210" s="175">
        <v>500002157</v>
      </c>
      <c r="N210" s="175">
        <v>500002157</v>
      </c>
      <c r="O210" s="187" t="s">
        <v>442</v>
      </c>
      <c r="P210" s="96" t="s">
        <v>27</v>
      </c>
      <c r="Q210" s="155"/>
      <c r="R210" s="147"/>
    </row>
    <row r="211" spans="1:18">
      <c r="A211" s="144" t="s">
        <v>96</v>
      </c>
      <c r="B211" s="95" t="s">
        <v>443</v>
      </c>
      <c r="C211" s="162" t="s">
        <v>72</v>
      </c>
      <c r="D211" s="123"/>
      <c r="E211" s="123"/>
      <c r="F211" s="71"/>
      <c r="G211" s="97"/>
      <c r="H211" s="204">
        <f t="shared" ref="H211:I231" si="27">D211*F211</f>
        <v>0</v>
      </c>
      <c r="I211" s="204">
        <f t="shared" si="27"/>
        <v>0</v>
      </c>
      <c r="J211" s="219"/>
      <c r="K211" s="123">
        <f t="shared" si="25"/>
        <v>0</v>
      </c>
      <c r="L211" s="123">
        <f t="shared" si="26"/>
        <v>0</v>
      </c>
      <c r="M211" s="133"/>
      <c r="N211" s="144">
        <v>200000169</v>
      </c>
      <c r="O211" s="187" t="s">
        <v>444</v>
      </c>
      <c r="P211" s="96" t="s">
        <v>32</v>
      </c>
      <c r="Q211" s="155"/>
      <c r="R211" s="147"/>
    </row>
    <row r="212" spans="1:18">
      <c r="A212" s="144"/>
      <c r="B212" s="95" t="s">
        <v>445</v>
      </c>
      <c r="C212" s="162" t="s">
        <v>72</v>
      </c>
      <c r="D212" s="123"/>
      <c r="E212" s="123"/>
      <c r="F212" s="97"/>
      <c r="G212" s="71"/>
      <c r="H212" s="204">
        <f t="shared" si="27"/>
        <v>0</v>
      </c>
      <c r="I212" s="204">
        <f t="shared" si="27"/>
        <v>0</v>
      </c>
      <c r="J212" s="219"/>
      <c r="K212" s="123">
        <f t="shared" si="25"/>
        <v>0</v>
      </c>
      <c r="L212" s="123">
        <f t="shared" si="26"/>
        <v>0</v>
      </c>
      <c r="M212" s="133"/>
      <c r="N212" s="135" t="s">
        <v>689</v>
      </c>
      <c r="O212" s="187" t="s">
        <v>446</v>
      </c>
      <c r="P212" s="96" t="s">
        <v>27</v>
      </c>
      <c r="Q212" s="155"/>
      <c r="R212" s="147"/>
    </row>
    <row r="213" spans="1:18">
      <c r="A213" s="144" t="s">
        <v>127</v>
      </c>
      <c r="B213" s="95" t="s">
        <v>447</v>
      </c>
      <c r="C213" s="162" t="s">
        <v>72</v>
      </c>
      <c r="D213" s="205">
        <f>'BoM AE'!O49</f>
        <v>0</v>
      </c>
      <c r="E213" s="123"/>
      <c r="F213" s="97"/>
      <c r="G213" s="97"/>
      <c r="H213" s="204">
        <f t="shared" si="27"/>
        <v>0</v>
      </c>
      <c r="I213" s="204">
        <f t="shared" si="27"/>
        <v>0</v>
      </c>
      <c r="J213" s="219"/>
      <c r="K213" s="123">
        <f t="shared" si="25"/>
        <v>0</v>
      </c>
      <c r="L213" s="123">
        <f t="shared" si="26"/>
        <v>0</v>
      </c>
      <c r="M213" s="95"/>
      <c r="N213" s="220">
        <v>200001183</v>
      </c>
      <c r="O213" s="187" t="s">
        <v>440</v>
      </c>
      <c r="P213" s="96" t="s">
        <v>32</v>
      </c>
      <c r="Q213" s="155"/>
      <c r="R213" s="147"/>
    </row>
    <row r="214" spans="1:18">
      <c r="A214" s="144"/>
      <c r="B214" s="95" t="s">
        <v>448</v>
      </c>
      <c r="C214" s="162" t="s">
        <v>72</v>
      </c>
      <c r="D214" s="123"/>
      <c r="E214" s="205">
        <f>D213</f>
        <v>0</v>
      </c>
      <c r="F214" s="97"/>
      <c r="G214" s="97"/>
      <c r="H214" s="204">
        <f t="shared" si="27"/>
        <v>0</v>
      </c>
      <c r="I214" s="204">
        <f t="shared" si="27"/>
        <v>0</v>
      </c>
      <c r="J214" s="219"/>
      <c r="K214" s="123">
        <f t="shared" si="25"/>
        <v>0</v>
      </c>
      <c r="L214" s="123">
        <f t="shared" si="26"/>
        <v>0</v>
      </c>
      <c r="M214" s="175">
        <v>500002480</v>
      </c>
      <c r="N214" s="175">
        <v>500002480</v>
      </c>
      <c r="O214" s="187" t="s">
        <v>442</v>
      </c>
      <c r="P214" s="96" t="s">
        <v>27</v>
      </c>
      <c r="Q214" s="155"/>
      <c r="R214" s="147"/>
    </row>
    <row r="215" spans="1:18">
      <c r="A215" s="144" t="s">
        <v>133</v>
      </c>
      <c r="B215" s="95" t="s">
        <v>449</v>
      </c>
      <c r="C215" s="162" t="s">
        <v>72</v>
      </c>
      <c r="D215" s="205">
        <f>'BoM AE'!O53</f>
        <v>0</v>
      </c>
      <c r="E215" s="123"/>
      <c r="F215" s="71"/>
      <c r="G215" s="97"/>
      <c r="H215" s="204">
        <f t="shared" si="27"/>
        <v>0</v>
      </c>
      <c r="I215" s="204">
        <f t="shared" si="27"/>
        <v>0</v>
      </c>
      <c r="J215" s="219"/>
      <c r="K215" s="123">
        <f t="shared" si="25"/>
        <v>0</v>
      </c>
      <c r="L215" s="123">
        <f t="shared" si="26"/>
        <v>0</v>
      </c>
      <c r="M215" s="133"/>
      <c r="N215" s="144">
        <v>200001181</v>
      </c>
      <c r="O215" s="187" t="s">
        <v>444</v>
      </c>
      <c r="P215" s="96" t="s">
        <v>32</v>
      </c>
      <c r="Q215" s="155"/>
      <c r="R215" s="147"/>
    </row>
    <row r="216" spans="1:18">
      <c r="A216" s="144"/>
      <c r="B216" s="95" t="s">
        <v>450</v>
      </c>
      <c r="C216" s="162" t="s">
        <v>72</v>
      </c>
      <c r="D216" s="123"/>
      <c r="E216" s="205">
        <f>D215</f>
        <v>0</v>
      </c>
      <c r="F216" s="97"/>
      <c r="G216" s="71"/>
      <c r="H216" s="204">
        <f t="shared" si="27"/>
        <v>0</v>
      </c>
      <c r="I216" s="204">
        <f t="shared" si="27"/>
        <v>0</v>
      </c>
      <c r="J216" s="219"/>
      <c r="K216" s="123">
        <f t="shared" si="25"/>
        <v>0</v>
      </c>
      <c r="L216" s="123">
        <f t="shared" si="26"/>
        <v>0</v>
      </c>
      <c r="M216" s="133"/>
      <c r="N216" s="135">
        <v>500002337</v>
      </c>
      <c r="O216" s="187" t="s">
        <v>446</v>
      </c>
      <c r="P216" s="96" t="s">
        <v>27</v>
      </c>
      <c r="Q216" s="155"/>
      <c r="R216" s="147"/>
    </row>
    <row r="217" spans="1:18">
      <c r="A217" s="144" t="s">
        <v>139</v>
      </c>
      <c r="B217" s="95" t="s">
        <v>451</v>
      </c>
      <c r="C217" s="162" t="s">
        <v>72</v>
      </c>
      <c r="D217" s="205">
        <f>'BoM AE'!O50</f>
        <v>0</v>
      </c>
      <c r="E217" s="123"/>
      <c r="F217" s="71"/>
      <c r="G217" s="97"/>
      <c r="H217" s="204">
        <f t="shared" si="27"/>
        <v>0</v>
      </c>
      <c r="I217" s="204">
        <f t="shared" si="27"/>
        <v>0</v>
      </c>
      <c r="J217" s="219"/>
      <c r="K217" s="123">
        <f t="shared" si="25"/>
        <v>0</v>
      </c>
      <c r="L217" s="123">
        <f t="shared" si="26"/>
        <v>0</v>
      </c>
      <c r="M217" s="175">
        <v>200001055</v>
      </c>
      <c r="N217" s="175">
        <v>200001055</v>
      </c>
      <c r="O217" s="187" t="s">
        <v>440</v>
      </c>
      <c r="P217" s="133" t="s">
        <v>32</v>
      </c>
      <c r="Q217" s="155"/>
      <c r="R217" s="147"/>
    </row>
    <row r="218" spans="1:18">
      <c r="A218" s="144"/>
      <c r="B218" s="95" t="s">
        <v>452</v>
      </c>
      <c r="C218" s="162" t="s">
        <v>72</v>
      </c>
      <c r="D218" s="123"/>
      <c r="E218" s="205">
        <f>D217</f>
        <v>0</v>
      </c>
      <c r="F218" s="97"/>
      <c r="G218" s="71"/>
      <c r="H218" s="204">
        <f t="shared" si="27"/>
        <v>0</v>
      </c>
      <c r="I218" s="204">
        <f t="shared" si="27"/>
        <v>0</v>
      </c>
      <c r="J218" s="219"/>
      <c r="K218" s="123">
        <f t="shared" si="25"/>
        <v>0</v>
      </c>
      <c r="L218" s="123">
        <f t="shared" si="26"/>
        <v>0</v>
      </c>
      <c r="M218" s="145">
        <v>500002159</v>
      </c>
      <c r="N218" s="145">
        <v>500002159</v>
      </c>
      <c r="O218" s="187" t="s">
        <v>442</v>
      </c>
      <c r="P218" s="133" t="s">
        <v>27</v>
      </c>
      <c r="Q218" s="155"/>
      <c r="R218" s="147"/>
    </row>
    <row r="219" spans="1:18">
      <c r="A219" s="144"/>
      <c r="B219" s="99" t="s">
        <v>453</v>
      </c>
      <c r="C219" s="100" t="s">
        <v>123</v>
      </c>
      <c r="D219" s="205">
        <f>'BoM AE'!O51</f>
        <v>0</v>
      </c>
      <c r="E219" s="123"/>
      <c r="F219" s="97"/>
      <c r="G219" s="71"/>
      <c r="H219" s="204"/>
      <c r="I219" s="204"/>
      <c r="J219" s="219"/>
      <c r="K219" s="123"/>
      <c r="L219" s="123"/>
      <c r="M219" s="145"/>
      <c r="N219" s="100">
        <v>200002675</v>
      </c>
      <c r="O219" s="137" t="s">
        <v>454</v>
      </c>
      <c r="P219" s="142" t="s">
        <v>32</v>
      </c>
      <c r="Q219" s="155"/>
      <c r="R219" s="147"/>
    </row>
    <row r="220" spans="1:18">
      <c r="A220" s="144"/>
      <c r="B220" s="99" t="s">
        <v>455</v>
      </c>
      <c r="C220" s="100" t="s">
        <v>123</v>
      </c>
      <c r="D220" s="123"/>
      <c r="E220" s="205">
        <f>D219</f>
        <v>0</v>
      </c>
      <c r="F220" s="97"/>
      <c r="G220" s="71"/>
      <c r="H220" s="204"/>
      <c r="I220" s="204"/>
      <c r="J220" s="219"/>
      <c r="K220" s="123"/>
      <c r="L220" s="123"/>
      <c r="M220" s="145"/>
      <c r="N220" s="100">
        <v>500004729</v>
      </c>
      <c r="O220" s="137" t="s">
        <v>456</v>
      </c>
      <c r="P220" s="142" t="s">
        <v>27</v>
      </c>
      <c r="Q220" s="155"/>
      <c r="R220" s="147"/>
    </row>
    <row r="221" spans="1:18">
      <c r="A221" s="144" t="s">
        <v>160</v>
      </c>
      <c r="B221" s="95" t="s">
        <v>457</v>
      </c>
      <c r="C221" s="162"/>
      <c r="D221" s="123"/>
      <c r="E221" s="123"/>
      <c r="F221" s="97"/>
      <c r="G221" s="97"/>
      <c r="H221" s="204">
        <f t="shared" si="27"/>
        <v>0</v>
      </c>
      <c r="I221" s="204">
        <f t="shared" si="27"/>
        <v>0</v>
      </c>
      <c r="J221" s="219"/>
      <c r="K221" s="123">
        <f t="shared" si="25"/>
        <v>0</v>
      </c>
      <c r="L221" s="123">
        <f t="shared" si="26"/>
        <v>0</v>
      </c>
      <c r="M221" s="133"/>
      <c r="N221" s="144"/>
      <c r="O221" s="144"/>
      <c r="P221" s="133"/>
      <c r="Q221" s="155"/>
      <c r="R221" s="147"/>
    </row>
    <row r="222" spans="1:18">
      <c r="A222" s="144"/>
      <c r="B222" s="95" t="s">
        <v>458</v>
      </c>
      <c r="C222" s="162" t="s">
        <v>72</v>
      </c>
      <c r="D222" s="123"/>
      <c r="E222" s="123"/>
      <c r="F222" s="97"/>
      <c r="G222" s="97"/>
      <c r="H222" s="204">
        <f t="shared" si="27"/>
        <v>0</v>
      </c>
      <c r="I222" s="204">
        <f t="shared" si="27"/>
        <v>0</v>
      </c>
      <c r="J222" s="219"/>
      <c r="K222" s="123">
        <f t="shared" si="25"/>
        <v>0</v>
      </c>
      <c r="L222" s="123">
        <f t="shared" si="26"/>
        <v>0</v>
      </c>
      <c r="M222" s="175">
        <v>200000996</v>
      </c>
      <c r="N222" s="175">
        <v>200000996</v>
      </c>
      <c r="O222" s="187" t="s">
        <v>459</v>
      </c>
      <c r="P222" s="96" t="s">
        <v>32</v>
      </c>
      <c r="Q222" s="155"/>
      <c r="R222" s="147"/>
    </row>
    <row r="223" spans="1:18">
      <c r="A223" s="144"/>
      <c r="B223" s="95" t="s">
        <v>460</v>
      </c>
      <c r="C223" s="162" t="s">
        <v>72</v>
      </c>
      <c r="D223" s="123"/>
      <c r="E223" s="123"/>
      <c r="F223" s="97"/>
      <c r="G223" s="97"/>
      <c r="H223" s="204">
        <f t="shared" si="27"/>
        <v>0</v>
      </c>
      <c r="I223" s="204">
        <f t="shared" si="27"/>
        <v>0</v>
      </c>
      <c r="J223" s="219"/>
      <c r="K223" s="123">
        <f t="shared" si="25"/>
        <v>0</v>
      </c>
      <c r="L223" s="123">
        <f t="shared" si="26"/>
        <v>0</v>
      </c>
      <c r="M223" s="133"/>
      <c r="N223" s="135" t="s">
        <v>690</v>
      </c>
      <c r="O223" s="136" t="s">
        <v>461</v>
      </c>
      <c r="P223" s="96" t="s">
        <v>32</v>
      </c>
      <c r="Q223" s="155"/>
      <c r="R223" s="147"/>
    </row>
    <row r="224" spans="1:28">
      <c r="A224" s="144"/>
      <c r="B224" s="95" t="s">
        <v>462</v>
      </c>
      <c r="C224" s="162" t="s">
        <v>72</v>
      </c>
      <c r="D224" s="123"/>
      <c r="E224" s="123"/>
      <c r="F224" s="97"/>
      <c r="G224" s="97"/>
      <c r="H224" s="204">
        <f t="shared" si="27"/>
        <v>0</v>
      </c>
      <c r="I224" s="204">
        <f t="shared" si="27"/>
        <v>0</v>
      </c>
      <c r="J224" s="219"/>
      <c r="K224" s="123">
        <f t="shared" si="25"/>
        <v>0</v>
      </c>
      <c r="L224" s="123">
        <f t="shared" si="26"/>
        <v>0</v>
      </c>
      <c r="M224" s="133"/>
      <c r="N224" s="135" t="s">
        <v>691</v>
      </c>
      <c r="O224" s="136" t="s">
        <v>463</v>
      </c>
      <c r="P224" s="96" t="s">
        <v>32</v>
      </c>
      <c r="Q224" s="155"/>
      <c r="R224" s="147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spans="1:28">
      <c r="A225" s="144" t="s">
        <v>165</v>
      </c>
      <c r="B225" s="95" t="s">
        <v>464</v>
      </c>
      <c r="C225" s="162" t="s">
        <v>72</v>
      </c>
      <c r="D225" s="205">
        <f>'BoM AE'!O37</f>
        <v>0</v>
      </c>
      <c r="E225" s="123">
        <f>D225</f>
        <v>0</v>
      </c>
      <c r="F225" s="71"/>
      <c r="G225" s="108"/>
      <c r="H225" s="204">
        <f t="shared" si="27"/>
        <v>0</v>
      </c>
      <c r="I225" s="204">
        <f t="shared" si="27"/>
        <v>0</v>
      </c>
      <c r="J225" s="219"/>
      <c r="K225" s="123">
        <f t="shared" si="25"/>
        <v>0</v>
      </c>
      <c r="L225" s="123">
        <f t="shared" si="26"/>
        <v>0</v>
      </c>
      <c r="M225" s="133"/>
      <c r="N225" s="162">
        <v>200000185</v>
      </c>
      <c r="O225" s="95" t="s">
        <v>465</v>
      </c>
      <c r="P225" s="96" t="s">
        <v>32</v>
      </c>
      <c r="Q225" s="155"/>
      <c r="R225" s="147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spans="1:28">
      <c r="A226" s="144" t="s">
        <v>196</v>
      </c>
      <c r="B226" s="95" t="s">
        <v>466</v>
      </c>
      <c r="C226" s="162" t="s">
        <v>42</v>
      </c>
      <c r="D226" s="123"/>
      <c r="E226" s="123"/>
      <c r="F226" s="108"/>
      <c r="G226" s="71"/>
      <c r="H226" s="204">
        <f t="shared" si="27"/>
        <v>0</v>
      </c>
      <c r="I226" s="204">
        <f t="shared" si="27"/>
        <v>0</v>
      </c>
      <c r="J226" s="219"/>
      <c r="K226" s="123">
        <f t="shared" si="25"/>
        <v>0</v>
      </c>
      <c r="L226" s="123">
        <f t="shared" si="26"/>
        <v>0</v>
      </c>
      <c r="M226" s="133"/>
      <c r="N226" s="144">
        <v>200001033</v>
      </c>
      <c r="O226" s="187" t="s">
        <v>467</v>
      </c>
      <c r="P226" s="96" t="s">
        <v>32</v>
      </c>
      <c r="Q226" s="155"/>
      <c r="R226" s="147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spans="1:28">
      <c r="A227" s="206" t="s">
        <v>393</v>
      </c>
      <c r="B227" s="207" t="s">
        <v>468</v>
      </c>
      <c r="C227" s="206" t="s">
        <v>72</v>
      </c>
      <c r="D227" s="123"/>
      <c r="E227" s="123"/>
      <c r="F227" s="97"/>
      <c r="G227" s="108"/>
      <c r="H227" s="204">
        <f t="shared" si="27"/>
        <v>0</v>
      </c>
      <c r="I227" s="204">
        <f t="shared" si="27"/>
        <v>0</v>
      </c>
      <c r="J227" s="219"/>
      <c r="K227" s="123">
        <f t="shared" si="25"/>
        <v>0</v>
      </c>
      <c r="L227" s="123">
        <f t="shared" si="26"/>
        <v>0</v>
      </c>
      <c r="M227" s="133"/>
      <c r="N227" s="144">
        <v>500002194</v>
      </c>
      <c r="O227" s="144"/>
      <c r="P227" s="96"/>
      <c r="Q227" s="155"/>
      <c r="R227" s="147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spans="1:28">
      <c r="A228" s="206"/>
      <c r="B228" s="161" t="s">
        <v>469</v>
      </c>
      <c r="C228" s="194" t="s">
        <v>198</v>
      </c>
      <c r="D228" s="205">
        <f>'BoM AE'!O38</f>
        <v>0</v>
      </c>
      <c r="E228" s="123">
        <f>D228</f>
        <v>0</v>
      </c>
      <c r="F228" s="71"/>
      <c r="G228" s="108"/>
      <c r="H228" s="204">
        <f t="shared" si="27"/>
        <v>0</v>
      </c>
      <c r="I228" s="204">
        <f t="shared" si="27"/>
        <v>0</v>
      </c>
      <c r="J228" s="219"/>
      <c r="K228" s="123">
        <f t="shared" si="25"/>
        <v>0</v>
      </c>
      <c r="L228" s="123">
        <f t="shared" si="26"/>
        <v>0</v>
      </c>
      <c r="M228" s="133"/>
      <c r="N228" s="177">
        <v>200000149</v>
      </c>
      <c r="O228" s="161" t="s">
        <v>470</v>
      </c>
      <c r="P228" s="96" t="s">
        <v>32</v>
      </c>
      <c r="Q228" s="155"/>
      <c r="R228" s="147"/>
      <c r="S228" s="161" t="s">
        <v>470</v>
      </c>
      <c r="T228" s="96" t="s">
        <v>32</v>
      </c>
      <c r="U228" s="40"/>
      <c r="V228" s="40"/>
      <c r="W228" s="40"/>
      <c r="X228" s="40"/>
      <c r="Y228" s="40"/>
      <c r="Z228" s="40"/>
      <c r="AA228" s="40"/>
      <c r="AB228" s="40"/>
    </row>
    <row r="229" spans="1:28">
      <c r="A229" s="206"/>
      <c r="B229" s="161" t="s">
        <v>471</v>
      </c>
      <c r="C229" s="194" t="s">
        <v>198</v>
      </c>
      <c r="D229" s="205">
        <f>'BoM AE'!O39</f>
        <v>0</v>
      </c>
      <c r="E229" s="123">
        <f t="shared" ref="E229:E241" si="28">D229</f>
        <v>0</v>
      </c>
      <c r="F229" s="71"/>
      <c r="G229" s="108"/>
      <c r="H229" s="204">
        <f t="shared" si="27"/>
        <v>0</v>
      </c>
      <c r="I229" s="204">
        <f t="shared" si="27"/>
        <v>0</v>
      </c>
      <c r="J229" s="219"/>
      <c r="K229" s="123">
        <f t="shared" si="25"/>
        <v>0</v>
      </c>
      <c r="L229" s="123">
        <f t="shared" si="26"/>
        <v>0</v>
      </c>
      <c r="M229" s="133"/>
      <c r="N229" s="177">
        <v>200000148</v>
      </c>
      <c r="O229" s="161" t="s">
        <v>472</v>
      </c>
      <c r="P229" s="96" t="s">
        <v>32</v>
      </c>
      <c r="Q229" s="155"/>
      <c r="R229" s="147"/>
      <c r="S229" s="161" t="s">
        <v>472</v>
      </c>
      <c r="T229" s="96" t="s">
        <v>32</v>
      </c>
      <c r="U229" s="40"/>
      <c r="V229" s="40"/>
      <c r="W229" s="40"/>
      <c r="X229" s="40"/>
      <c r="Y229" s="40"/>
      <c r="Z229" s="40"/>
      <c r="AA229" s="40"/>
      <c r="AB229" s="40"/>
    </row>
    <row r="230" spans="1:28">
      <c r="A230" s="206"/>
      <c r="B230" s="161" t="s">
        <v>473</v>
      </c>
      <c r="C230" s="194" t="s">
        <v>198</v>
      </c>
      <c r="D230" s="123"/>
      <c r="E230" s="123"/>
      <c r="F230" s="208"/>
      <c r="G230" s="108"/>
      <c r="H230" s="204">
        <f t="shared" si="27"/>
        <v>0</v>
      </c>
      <c r="I230" s="204">
        <f t="shared" si="27"/>
        <v>0</v>
      </c>
      <c r="J230" s="219"/>
      <c r="K230" s="123">
        <f t="shared" si="25"/>
        <v>0</v>
      </c>
      <c r="L230" s="123">
        <f t="shared" si="26"/>
        <v>0</v>
      </c>
      <c r="M230" s="133"/>
      <c r="N230" s="177">
        <v>200000188</v>
      </c>
      <c r="O230" s="161" t="s">
        <v>474</v>
      </c>
      <c r="P230" s="96" t="s">
        <v>32</v>
      </c>
      <c r="Q230" s="155"/>
      <c r="R230" s="147"/>
      <c r="S230" s="161" t="s">
        <v>474</v>
      </c>
      <c r="T230" s="96" t="s">
        <v>32</v>
      </c>
      <c r="U230" s="40"/>
      <c r="V230" s="40"/>
      <c r="W230" s="40"/>
      <c r="X230" s="40"/>
      <c r="Y230" s="40"/>
      <c r="Z230" s="40"/>
      <c r="AA230" s="40"/>
      <c r="AB230" s="40"/>
    </row>
    <row r="231" spans="1:28">
      <c r="A231" s="206"/>
      <c r="B231" s="161" t="s">
        <v>475</v>
      </c>
      <c r="C231" s="194" t="s">
        <v>198</v>
      </c>
      <c r="D231" s="205">
        <f>'BoM AE'!O40</f>
        <v>0</v>
      </c>
      <c r="E231" s="123">
        <f t="shared" si="28"/>
        <v>0</v>
      </c>
      <c r="F231" s="71"/>
      <c r="G231" s="108"/>
      <c r="H231" s="204">
        <f t="shared" si="27"/>
        <v>0</v>
      </c>
      <c r="I231" s="204">
        <f t="shared" si="27"/>
        <v>0</v>
      </c>
      <c r="J231" s="219"/>
      <c r="K231" s="123">
        <f t="shared" si="25"/>
        <v>0</v>
      </c>
      <c r="L231" s="123">
        <f t="shared" si="26"/>
        <v>0</v>
      </c>
      <c r="M231" s="133"/>
      <c r="N231" s="177">
        <v>200000172</v>
      </c>
      <c r="O231" s="161" t="s">
        <v>476</v>
      </c>
      <c r="P231" s="96" t="s">
        <v>32</v>
      </c>
      <c r="Q231" s="155"/>
      <c r="R231" s="147"/>
      <c r="S231" s="161" t="s">
        <v>476</v>
      </c>
      <c r="T231" s="96" t="s">
        <v>32</v>
      </c>
      <c r="U231" s="40"/>
      <c r="V231" s="40"/>
      <c r="W231" s="40"/>
      <c r="X231" s="40"/>
      <c r="Y231" s="40"/>
      <c r="Z231" s="40"/>
      <c r="AA231" s="40"/>
      <c r="AB231" s="40"/>
    </row>
    <row r="232" spans="1:28">
      <c r="A232" s="206"/>
      <c r="B232" s="161" t="s">
        <v>477</v>
      </c>
      <c r="C232" s="194" t="s">
        <v>198</v>
      </c>
      <c r="D232" s="123">
        <f>'BoM AE'!O43</f>
        <v>0</v>
      </c>
      <c r="E232" s="123">
        <f t="shared" si="28"/>
        <v>0</v>
      </c>
      <c r="F232" s="209"/>
      <c r="G232" s="108"/>
      <c r="H232" s="204"/>
      <c r="I232" s="204"/>
      <c r="J232" s="219"/>
      <c r="K232" s="123"/>
      <c r="L232" s="123"/>
      <c r="M232" s="133"/>
      <c r="N232" s="177">
        <v>200002130</v>
      </c>
      <c r="O232" s="161" t="s">
        <v>478</v>
      </c>
      <c r="P232" s="133" t="s">
        <v>32</v>
      </c>
      <c r="Q232" s="224"/>
      <c r="R232" s="225"/>
      <c r="S232" s="161" t="s">
        <v>478</v>
      </c>
      <c r="T232" s="133" t="s">
        <v>32</v>
      </c>
      <c r="U232" s="40"/>
      <c r="V232" s="40"/>
      <c r="W232" s="40"/>
      <c r="X232" s="40"/>
      <c r="Y232" s="40"/>
      <c r="Z232" s="40"/>
      <c r="AA232" s="40"/>
      <c r="AB232" s="40"/>
    </row>
    <row r="233" spans="1:28">
      <c r="A233" s="206"/>
      <c r="B233" s="161" t="s">
        <v>479</v>
      </c>
      <c r="C233" s="194" t="s">
        <v>198</v>
      </c>
      <c r="D233" s="123"/>
      <c r="E233" s="123"/>
      <c r="F233" s="208"/>
      <c r="G233" s="108"/>
      <c r="H233" s="204">
        <f t="shared" ref="H233:I240" si="29">D233*F233</f>
        <v>0</v>
      </c>
      <c r="I233" s="204">
        <f t="shared" si="29"/>
        <v>0</v>
      </c>
      <c r="J233" s="219"/>
      <c r="K233" s="123">
        <f t="shared" ref="K233:K241" si="30">D233+E233</f>
        <v>0</v>
      </c>
      <c r="L233" s="123">
        <f t="shared" ref="L233:L241" si="31">F233+G233</f>
        <v>0</v>
      </c>
      <c r="M233" s="133"/>
      <c r="N233" s="177">
        <v>200000175</v>
      </c>
      <c r="O233" s="161" t="s">
        <v>480</v>
      </c>
      <c r="P233" s="96" t="s">
        <v>32</v>
      </c>
      <c r="Q233" s="155"/>
      <c r="R233" s="147"/>
      <c r="S233" s="161" t="s">
        <v>480</v>
      </c>
      <c r="T233" s="96" t="s">
        <v>32</v>
      </c>
      <c r="U233" s="40"/>
      <c r="V233" s="40"/>
      <c r="W233" s="40"/>
      <c r="X233" s="40"/>
      <c r="Y233" s="40"/>
      <c r="Z233" s="40"/>
      <c r="AA233" s="40"/>
      <c r="AB233" s="40"/>
    </row>
    <row r="234" spans="1:28">
      <c r="A234" s="206"/>
      <c r="B234" s="161" t="s">
        <v>481</v>
      </c>
      <c r="C234" s="194" t="s">
        <v>198</v>
      </c>
      <c r="D234" s="123"/>
      <c r="E234" s="123"/>
      <c r="F234" s="208"/>
      <c r="G234" s="108"/>
      <c r="H234" s="204">
        <f t="shared" si="29"/>
        <v>0</v>
      </c>
      <c r="I234" s="204">
        <f t="shared" si="29"/>
        <v>0</v>
      </c>
      <c r="J234" s="219"/>
      <c r="K234" s="123">
        <f t="shared" si="30"/>
        <v>0</v>
      </c>
      <c r="L234" s="123">
        <f t="shared" si="31"/>
        <v>0</v>
      </c>
      <c r="M234" s="133"/>
      <c r="N234" s="177">
        <v>200000670</v>
      </c>
      <c r="O234" s="161" t="s">
        <v>307</v>
      </c>
      <c r="P234" s="96" t="s">
        <v>32</v>
      </c>
      <c r="Q234" s="155"/>
      <c r="R234" s="147"/>
      <c r="S234" s="161" t="s">
        <v>307</v>
      </c>
      <c r="T234" s="96" t="s">
        <v>32</v>
      </c>
      <c r="U234" s="40"/>
      <c r="V234" s="40"/>
      <c r="W234" s="40"/>
      <c r="X234" s="40"/>
      <c r="Y234" s="40"/>
      <c r="Z234" s="40"/>
      <c r="AA234" s="40"/>
      <c r="AB234" s="40"/>
    </row>
    <row r="235" spans="1:28">
      <c r="A235" s="206"/>
      <c r="B235" s="161" t="s">
        <v>482</v>
      </c>
      <c r="C235" s="194" t="s">
        <v>198</v>
      </c>
      <c r="D235" s="205">
        <f>'BoM AE'!O45</f>
        <v>0</v>
      </c>
      <c r="E235" s="123">
        <f t="shared" si="28"/>
        <v>0</v>
      </c>
      <c r="F235" s="208"/>
      <c r="G235" s="108"/>
      <c r="H235" s="204">
        <f t="shared" si="29"/>
        <v>0</v>
      </c>
      <c r="I235" s="204">
        <f t="shared" si="29"/>
        <v>0</v>
      </c>
      <c r="J235" s="219"/>
      <c r="K235" s="123">
        <f t="shared" si="30"/>
        <v>0</v>
      </c>
      <c r="L235" s="123">
        <f t="shared" si="31"/>
        <v>0</v>
      </c>
      <c r="M235" s="133"/>
      <c r="N235" s="177">
        <v>200000166</v>
      </c>
      <c r="O235" s="161" t="s">
        <v>483</v>
      </c>
      <c r="P235" s="96" t="s">
        <v>32</v>
      </c>
      <c r="Q235" s="155"/>
      <c r="R235" s="147"/>
      <c r="S235" s="161" t="s">
        <v>483</v>
      </c>
      <c r="T235" s="96" t="s">
        <v>32</v>
      </c>
      <c r="U235" s="40"/>
      <c r="V235" s="40"/>
      <c r="W235" s="40"/>
      <c r="X235" s="40"/>
      <c r="Y235" s="40"/>
      <c r="Z235" s="40"/>
      <c r="AA235" s="40"/>
      <c r="AB235" s="40"/>
    </row>
    <row r="236" spans="1:28">
      <c r="A236" s="206"/>
      <c r="B236" s="161" t="s">
        <v>484</v>
      </c>
      <c r="C236" s="194" t="s">
        <v>198</v>
      </c>
      <c r="D236" s="205">
        <f>'BoM AE'!O44</f>
        <v>0</v>
      </c>
      <c r="E236" s="123">
        <f t="shared" si="28"/>
        <v>0</v>
      </c>
      <c r="F236" s="71"/>
      <c r="G236" s="108"/>
      <c r="H236" s="204">
        <f t="shared" si="29"/>
        <v>0</v>
      </c>
      <c r="I236" s="204">
        <f t="shared" si="29"/>
        <v>0</v>
      </c>
      <c r="J236" s="219"/>
      <c r="K236" s="123">
        <f t="shared" si="30"/>
        <v>0</v>
      </c>
      <c r="L236" s="123">
        <f t="shared" si="31"/>
        <v>0</v>
      </c>
      <c r="M236" s="133"/>
      <c r="N236" s="177">
        <v>200000145</v>
      </c>
      <c r="O236" s="161" t="s">
        <v>485</v>
      </c>
      <c r="P236" s="96" t="s">
        <v>32</v>
      </c>
      <c r="Q236" s="155"/>
      <c r="R236" s="147"/>
      <c r="S236" s="161" t="s">
        <v>485</v>
      </c>
      <c r="T236" s="96" t="s">
        <v>32</v>
      </c>
      <c r="U236" s="40"/>
      <c r="V236" s="40"/>
      <c r="W236" s="40"/>
      <c r="X236" s="40"/>
      <c r="Y236" s="40"/>
      <c r="Z236" s="40"/>
      <c r="AA236" s="40"/>
      <c r="AB236" s="40"/>
    </row>
    <row r="237" spans="1:28">
      <c r="A237" s="206"/>
      <c r="B237" s="161" t="s">
        <v>486</v>
      </c>
      <c r="C237" s="194" t="s">
        <v>198</v>
      </c>
      <c r="D237" s="123"/>
      <c r="E237" s="123"/>
      <c r="F237" s="208"/>
      <c r="G237" s="108"/>
      <c r="H237" s="204">
        <f t="shared" si="29"/>
        <v>0</v>
      </c>
      <c r="I237" s="204">
        <f t="shared" si="29"/>
        <v>0</v>
      </c>
      <c r="J237" s="219"/>
      <c r="K237" s="123">
        <f t="shared" si="30"/>
        <v>0</v>
      </c>
      <c r="L237" s="123">
        <f t="shared" si="31"/>
        <v>0</v>
      </c>
      <c r="M237" s="133"/>
      <c r="N237" s="177">
        <v>200000150</v>
      </c>
      <c r="O237" s="161" t="s">
        <v>487</v>
      </c>
      <c r="P237" s="96" t="s">
        <v>32</v>
      </c>
      <c r="Q237" s="155"/>
      <c r="R237" s="147"/>
      <c r="S237" s="161" t="s">
        <v>487</v>
      </c>
      <c r="T237" s="96" t="s">
        <v>32</v>
      </c>
      <c r="U237" s="40"/>
      <c r="V237" s="40"/>
      <c r="W237" s="40"/>
      <c r="X237" s="40"/>
      <c r="Y237" s="40"/>
      <c r="Z237" s="40"/>
      <c r="AA237" s="40"/>
      <c r="AB237" s="40"/>
    </row>
    <row r="238" spans="1:28">
      <c r="A238" s="206"/>
      <c r="B238" s="161" t="s">
        <v>488</v>
      </c>
      <c r="C238" s="194" t="s">
        <v>198</v>
      </c>
      <c r="D238" s="205">
        <f>'BoM AE'!O41</f>
        <v>0</v>
      </c>
      <c r="E238" s="123">
        <f t="shared" si="28"/>
        <v>0</v>
      </c>
      <c r="F238" s="71"/>
      <c r="G238" s="108"/>
      <c r="H238" s="204">
        <f t="shared" si="29"/>
        <v>0</v>
      </c>
      <c r="I238" s="204">
        <f t="shared" si="29"/>
        <v>0</v>
      </c>
      <c r="J238" s="219"/>
      <c r="K238" s="123">
        <f t="shared" si="30"/>
        <v>0</v>
      </c>
      <c r="L238" s="123">
        <f t="shared" si="31"/>
        <v>0</v>
      </c>
      <c r="M238" s="133"/>
      <c r="N238" s="177">
        <v>500001103</v>
      </c>
      <c r="O238" s="161" t="s">
        <v>489</v>
      </c>
      <c r="P238" s="96" t="s">
        <v>32</v>
      </c>
      <c r="Q238" s="155"/>
      <c r="R238" s="147"/>
      <c r="S238" s="161" t="s">
        <v>489</v>
      </c>
      <c r="T238" s="96" t="s">
        <v>32</v>
      </c>
      <c r="U238" s="40"/>
      <c r="V238" s="40"/>
      <c r="W238" s="40"/>
      <c r="X238" s="40"/>
      <c r="Y238" s="40"/>
      <c r="Z238" s="40"/>
      <c r="AA238" s="40"/>
      <c r="AB238" s="40"/>
    </row>
    <row r="239" spans="1:20">
      <c r="A239" s="206"/>
      <c r="B239" s="161" t="s">
        <v>490</v>
      </c>
      <c r="C239" s="194" t="s">
        <v>198</v>
      </c>
      <c r="D239" s="205">
        <f>'BoM AE'!O42</f>
        <v>0</v>
      </c>
      <c r="E239" s="123">
        <f t="shared" si="28"/>
        <v>0</v>
      </c>
      <c r="F239" s="71"/>
      <c r="G239" s="108"/>
      <c r="H239" s="204">
        <f t="shared" si="29"/>
        <v>0</v>
      </c>
      <c r="I239" s="204">
        <f t="shared" si="29"/>
        <v>0</v>
      </c>
      <c r="J239" s="219"/>
      <c r="K239" s="123">
        <f t="shared" si="30"/>
        <v>0</v>
      </c>
      <c r="L239" s="123">
        <f t="shared" si="31"/>
        <v>0</v>
      </c>
      <c r="M239" s="133"/>
      <c r="N239" s="177">
        <v>200000690</v>
      </c>
      <c r="O239" s="161" t="s">
        <v>491</v>
      </c>
      <c r="P239" s="96" t="s">
        <v>32</v>
      </c>
      <c r="Q239" s="155"/>
      <c r="R239" s="147"/>
      <c r="S239" s="161" t="s">
        <v>491</v>
      </c>
      <c r="T239" s="96" t="s">
        <v>32</v>
      </c>
    </row>
    <row r="240" spans="1:20">
      <c r="A240" s="206"/>
      <c r="B240" s="161" t="s">
        <v>492</v>
      </c>
      <c r="C240" s="194" t="s">
        <v>198</v>
      </c>
      <c r="D240" s="123">
        <f>'BoM AE'!O46</f>
        <v>0</v>
      </c>
      <c r="E240" s="123">
        <f t="shared" si="28"/>
        <v>0</v>
      </c>
      <c r="F240" s="71"/>
      <c r="G240" s="108"/>
      <c r="H240" s="204">
        <f t="shared" si="29"/>
        <v>0</v>
      </c>
      <c r="I240" s="204">
        <f t="shared" si="29"/>
        <v>0</v>
      </c>
      <c r="J240" s="219"/>
      <c r="K240" s="123">
        <f t="shared" si="30"/>
        <v>0</v>
      </c>
      <c r="L240" s="123">
        <f t="shared" si="31"/>
        <v>0</v>
      </c>
      <c r="M240" s="133"/>
      <c r="N240" s="177">
        <v>200001510</v>
      </c>
      <c r="O240" s="161" t="s">
        <v>493</v>
      </c>
      <c r="P240" s="96" t="s">
        <v>32</v>
      </c>
      <c r="Q240" s="155"/>
      <c r="R240" s="147"/>
      <c r="S240" s="161" t="s">
        <v>493</v>
      </c>
      <c r="T240" s="96" t="s">
        <v>32</v>
      </c>
    </row>
    <row r="241" customFormat="1" ht="14.4" spans="1:28">
      <c r="A241" s="206"/>
      <c r="B241" s="161" t="s">
        <v>494</v>
      </c>
      <c r="C241" s="194" t="s">
        <v>198</v>
      </c>
      <c r="D241" s="123">
        <f>'BoM AE'!O47</f>
        <v>0</v>
      </c>
      <c r="E241" s="123">
        <f t="shared" si="28"/>
        <v>0</v>
      </c>
      <c r="F241" s="71"/>
      <c r="G241" s="108"/>
      <c r="H241" s="204"/>
      <c r="I241" s="204"/>
      <c r="J241" s="219"/>
      <c r="K241" s="123">
        <f t="shared" si="30"/>
        <v>0</v>
      </c>
      <c r="L241" s="123">
        <f t="shared" si="31"/>
        <v>0</v>
      </c>
      <c r="M241" s="133"/>
      <c r="N241" s="177">
        <v>200001070</v>
      </c>
      <c r="O241" s="161" t="s">
        <v>495</v>
      </c>
      <c r="P241" s="96" t="s">
        <v>32</v>
      </c>
      <c r="Q241" s="155"/>
      <c r="R241" s="147"/>
      <c r="S241" s="161" t="s">
        <v>495</v>
      </c>
      <c r="T241" s="96" t="s">
        <v>32</v>
      </c>
      <c r="U241" s="43"/>
      <c r="V241" s="43"/>
      <c r="W241" s="43"/>
      <c r="X241" s="43"/>
      <c r="Y241" s="43"/>
      <c r="Z241" s="43"/>
      <c r="AA241" s="43"/>
      <c r="AB241" s="43"/>
    </row>
    <row r="242" s="37" customFormat="1" spans="1:28">
      <c r="A242" s="165" t="s">
        <v>496</v>
      </c>
      <c r="B242" s="166"/>
      <c r="C242" s="166"/>
      <c r="D242" s="78"/>
      <c r="E242" s="78"/>
      <c r="F242" s="80"/>
      <c r="G242" s="79"/>
      <c r="H242" s="80">
        <f>SUM(H209:H240)</f>
        <v>0</v>
      </c>
      <c r="I242" s="80">
        <f>SUM(I209:I240)</f>
        <v>0</v>
      </c>
      <c r="J242" s="80">
        <f>H242+I242</f>
        <v>0</v>
      </c>
      <c r="K242" s="80"/>
      <c r="L242" s="80"/>
      <c r="M242" s="80"/>
      <c r="N242" s="183"/>
      <c r="O242" s="183"/>
      <c r="P242" s="80"/>
      <c r="Q242" s="156"/>
      <c r="R242" s="157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 spans="1:18">
      <c r="A243" s="210"/>
      <c r="B243" s="211"/>
      <c r="C243" s="212"/>
      <c r="D243" s="85"/>
      <c r="E243" s="85"/>
      <c r="F243" s="213"/>
      <c r="G243" s="86"/>
      <c r="H243" s="213"/>
      <c r="I243" s="213"/>
      <c r="J243" s="213"/>
      <c r="K243" s="213"/>
      <c r="L243" s="213"/>
      <c r="M243" s="213"/>
      <c r="N243" s="221"/>
      <c r="O243" s="221"/>
      <c r="P243" s="222"/>
      <c r="Q243" s="156"/>
      <c r="R243" s="157"/>
    </row>
    <row r="244" s="36" customFormat="1" spans="1:28">
      <c r="A244" s="61">
        <v>2.4</v>
      </c>
      <c r="B244" s="171" t="s">
        <v>497</v>
      </c>
      <c r="C244" s="63"/>
      <c r="D244" s="93"/>
      <c r="E244" s="93"/>
      <c r="F244" s="63"/>
      <c r="G244" s="63"/>
      <c r="H244" s="63"/>
      <c r="I244" s="63"/>
      <c r="J244" s="122"/>
      <c r="K244" s="63"/>
      <c r="L244" s="63"/>
      <c r="M244" s="63"/>
      <c r="N244" s="223"/>
      <c r="O244" s="223"/>
      <c r="P244" s="223"/>
      <c r="Q244" s="147"/>
      <c r="R244" s="157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 spans="1:18">
      <c r="A245" s="66" t="s">
        <v>39</v>
      </c>
      <c r="B245" s="106" t="s">
        <v>498</v>
      </c>
      <c r="C245" s="68"/>
      <c r="D245" s="69"/>
      <c r="E245" s="69"/>
      <c r="F245" s="87"/>
      <c r="G245" s="86"/>
      <c r="H245" s="204">
        <f t="shared" ref="H245:I280" si="32">D245*F245</f>
        <v>0</v>
      </c>
      <c r="I245" s="204">
        <f t="shared" si="32"/>
        <v>0</v>
      </c>
      <c r="J245" s="87"/>
      <c r="K245" s="69">
        <f t="shared" ref="K245:K280" si="33">D245+E245</f>
        <v>0</v>
      </c>
      <c r="L245" s="123">
        <f t="shared" ref="L245:L280" si="34">F245+G245</f>
        <v>0</v>
      </c>
      <c r="M245" s="87"/>
      <c r="N245" s="56"/>
      <c r="O245" s="56"/>
      <c r="P245" s="87"/>
      <c r="Q245" s="156"/>
      <c r="R245" s="157"/>
    </row>
    <row r="246" spans="1:18">
      <c r="A246" s="66"/>
      <c r="B246" s="106" t="s">
        <v>499</v>
      </c>
      <c r="C246" s="68" t="s">
        <v>72</v>
      </c>
      <c r="D246" s="69"/>
      <c r="E246" s="69"/>
      <c r="F246" s="87"/>
      <c r="G246" s="86"/>
      <c r="H246" s="204">
        <f t="shared" si="32"/>
        <v>0</v>
      </c>
      <c r="I246" s="204">
        <f t="shared" si="32"/>
        <v>0</v>
      </c>
      <c r="J246" s="87"/>
      <c r="K246" s="69">
        <f t="shared" si="33"/>
        <v>0</v>
      </c>
      <c r="L246" s="123">
        <f t="shared" si="34"/>
        <v>0</v>
      </c>
      <c r="M246" s="87"/>
      <c r="N246" s="135" t="s">
        <v>692</v>
      </c>
      <c r="O246" s="136" t="s">
        <v>500</v>
      </c>
      <c r="P246" s="96" t="s">
        <v>32</v>
      </c>
      <c r="Q246" s="155"/>
      <c r="R246" s="157"/>
    </row>
    <row r="247" spans="1:18">
      <c r="A247" s="66"/>
      <c r="B247" s="106" t="s">
        <v>501</v>
      </c>
      <c r="C247" s="68" t="s">
        <v>72</v>
      </c>
      <c r="D247" s="69"/>
      <c r="E247" s="69"/>
      <c r="F247" s="87"/>
      <c r="G247" s="86"/>
      <c r="H247" s="204">
        <f t="shared" si="32"/>
        <v>0</v>
      </c>
      <c r="I247" s="204">
        <f t="shared" si="32"/>
        <v>0</v>
      </c>
      <c r="J247" s="87"/>
      <c r="K247" s="69">
        <f t="shared" si="33"/>
        <v>0</v>
      </c>
      <c r="L247" s="123">
        <f t="shared" si="34"/>
        <v>0</v>
      </c>
      <c r="M247" s="87"/>
      <c r="N247" s="135" t="s">
        <v>693</v>
      </c>
      <c r="O247" s="136" t="s">
        <v>502</v>
      </c>
      <c r="P247" s="96" t="s">
        <v>27</v>
      </c>
      <c r="Q247" s="155"/>
      <c r="R247" s="157"/>
    </row>
    <row r="248" spans="1:18">
      <c r="A248" s="66"/>
      <c r="B248" s="106" t="s">
        <v>503</v>
      </c>
      <c r="C248" s="68" t="s">
        <v>72</v>
      </c>
      <c r="D248" s="69"/>
      <c r="E248" s="69"/>
      <c r="F248" s="87"/>
      <c r="G248" s="86"/>
      <c r="H248" s="204">
        <f t="shared" si="32"/>
        <v>0</v>
      </c>
      <c r="I248" s="204">
        <f t="shared" si="32"/>
        <v>0</v>
      </c>
      <c r="J248" s="87"/>
      <c r="K248" s="69">
        <f t="shared" si="33"/>
        <v>0</v>
      </c>
      <c r="L248" s="123">
        <f t="shared" si="34"/>
        <v>0</v>
      </c>
      <c r="M248" s="87"/>
      <c r="N248" s="135" t="s">
        <v>694</v>
      </c>
      <c r="O248" s="136" t="s">
        <v>504</v>
      </c>
      <c r="P248" s="96" t="s">
        <v>32</v>
      </c>
      <c r="Q248" s="155"/>
      <c r="R248" s="157"/>
    </row>
    <row r="249" spans="1:18">
      <c r="A249" s="66"/>
      <c r="B249" s="106" t="s">
        <v>505</v>
      </c>
      <c r="C249" s="68" t="s">
        <v>72</v>
      </c>
      <c r="D249" s="69"/>
      <c r="E249" s="69"/>
      <c r="F249" s="87"/>
      <c r="G249" s="86"/>
      <c r="H249" s="204">
        <f t="shared" si="32"/>
        <v>0</v>
      </c>
      <c r="I249" s="204">
        <f t="shared" si="32"/>
        <v>0</v>
      </c>
      <c r="J249" s="87"/>
      <c r="K249" s="69">
        <f t="shared" si="33"/>
        <v>0</v>
      </c>
      <c r="L249" s="123">
        <f t="shared" si="34"/>
        <v>0</v>
      </c>
      <c r="M249" s="87"/>
      <c r="N249" s="135" t="s">
        <v>695</v>
      </c>
      <c r="O249" s="136" t="s">
        <v>506</v>
      </c>
      <c r="P249" s="96" t="s">
        <v>27</v>
      </c>
      <c r="Q249" s="155"/>
      <c r="R249" s="157"/>
    </row>
    <row r="250" spans="1:18">
      <c r="A250" s="66"/>
      <c r="B250" s="172" t="s">
        <v>507</v>
      </c>
      <c r="C250" s="66" t="s">
        <v>72</v>
      </c>
      <c r="D250" s="69"/>
      <c r="E250" s="69"/>
      <c r="F250" s="87"/>
      <c r="G250" s="86"/>
      <c r="H250" s="204">
        <f t="shared" si="32"/>
        <v>0</v>
      </c>
      <c r="I250" s="204">
        <f t="shared" si="32"/>
        <v>0</v>
      </c>
      <c r="J250" s="87"/>
      <c r="K250" s="69">
        <f t="shared" si="33"/>
        <v>0</v>
      </c>
      <c r="L250" s="123">
        <f t="shared" si="34"/>
        <v>0</v>
      </c>
      <c r="M250" s="87"/>
      <c r="N250" s="135" t="s">
        <v>696</v>
      </c>
      <c r="O250" s="136" t="s">
        <v>508</v>
      </c>
      <c r="P250" s="96" t="s">
        <v>32</v>
      </c>
      <c r="Q250" s="155"/>
      <c r="R250" s="157"/>
    </row>
    <row r="251" spans="1:18">
      <c r="A251" s="66"/>
      <c r="B251" s="172" t="s">
        <v>509</v>
      </c>
      <c r="C251" s="68" t="s">
        <v>72</v>
      </c>
      <c r="D251" s="69"/>
      <c r="E251" s="69"/>
      <c r="F251" s="87"/>
      <c r="G251" s="86"/>
      <c r="H251" s="204">
        <f t="shared" si="32"/>
        <v>0</v>
      </c>
      <c r="I251" s="204">
        <f t="shared" si="32"/>
        <v>0</v>
      </c>
      <c r="J251" s="87"/>
      <c r="K251" s="69">
        <f t="shared" si="33"/>
        <v>0</v>
      </c>
      <c r="L251" s="123">
        <f t="shared" si="34"/>
        <v>0</v>
      </c>
      <c r="M251" s="87"/>
      <c r="N251" s="135" t="s">
        <v>697</v>
      </c>
      <c r="O251" s="136" t="s">
        <v>510</v>
      </c>
      <c r="P251" s="96" t="s">
        <v>27</v>
      </c>
      <c r="Q251" s="155"/>
      <c r="R251" s="157"/>
    </row>
    <row r="252" spans="1:18">
      <c r="A252" s="66" t="s">
        <v>96</v>
      </c>
      <c r="B252" s="106" t="s">
        <v>511</v>
      </c>
      <c r="C252" s="68"/>
      <c r="D252" s="69"/>
      <c r="E252" s="69"/>
      <c r="F252" s="87"/>
      <c r="G252" s="86"/>
      <c r="H252" s="204">
        <f t="shared" si="32"/>
        <v>0</v>
      </c>
      <c r="I252" s="204">
        <f t="shared" si="32"/>
        <v>0</v>
      </c>
      <c r="J252" s="87"/>
      <c r="K252" s="69">
        <f t="shared" si="33"/>
        <v>0</v>
      </c>
      <c r="L252" s="123">
        <f t="shared" si="34"/>
        <v>0</v>
      </c>
      <c r="M252" s="87"/>
      <c r="N252" s="56"/>
      <c r="O252" s="56"/>
      <c r="P252" s="87"/>
      <c r="Q252" s="156"/>
      <c r="R252" s="157"/>
    </row>
    <row r="253" spans="1:18">
      <c r="A253" s="66"/>
      <c r="B253" s="214" t="s">
        <v>512</v>
      </c>
      <c r="C253" s="215" t="s">
        <v>123</v>
      </c>
      <c r="D253" s="69"/>
      <c r="E253" s="69"/>
      <c r="F253" s="87"/>
      <c r="G253" s="86"/>
      <c r="H253" s="204">
        <f t="shared" si="32"/>
        <v>0</v>
      </c>
      <c r="I253" s="204">
        <f t="shared" si="32"/>
        <v>0</v>
      </c>
      <c r="J253" s="87"/>
      <c r="K253" s="69">
        <f t="shared" si="33"/>
        <v>0</v>
      </c>
      <c r="L253" s="123">
        <f t="shared" si="34"/>
        <v>0</v>
      </c>
      <c r="M253" s="87"/>
      <c r="N253" s="135" t="s">
        <v>698</v>
      </c>
      <c r="O253" s="136" t="s">
        <v>513</v>
      </c>
      <c r="P253" s="96" t="s">
        <v>32</v>
      </c>
      <c r="Q253" s="155"/>
      <c r="R253" s="157"/>
    </row>
    <row r="254" spans="1:18">
      <c r="A254" s="66"/>
      <c r="B254" s="214" t="s">
        <v>514</v>
      </c>
      <c r="C254" s="215" t="s">
        <v>123</v>
      </c>
      <c r="D254" s="69"/>
      <c r="E254" s="69"/>
      <c r="F254" s="87"/>
      <c r="G254" s="86"/>
      <c r="H254" s="204">
        <f t="shared" si="32"/>
        <v>0</v>
      </c>
      <c r="I254" s="204">
        <f t="shared" si="32"/>
        <v>0</v>
      </c>
      <c r="J254" s="87"/>
      <c r="K254" s="69">
        <f t="shared" si="33"/>
        <v>0</v>
      </c>
      <c r="L254" s="123">
        <f t="shared" si="34"/>
        <v>0</v>
      </c>
      <c r="M254" s="87"/>
      <c r="N254" s="135" t="s">
        <v>699</v>
      </c>
      <c r="O254" s="136" t="s">
        <v>515</v>
      </c>
      <c r="P254" s="96" t="s">
        <v>27</v>
      </c>
      <c r="Q254" s="155"/>
      <c r="R254" s="157"/>
    </row>
    <row r="255" spans="1:18">
      <c r="A255" s="66"/>
      <c r="B255" s="216" t="s">
        <v>516</v>
      </c>
      <c r="C255" s="194" t="s">
        <v>123</v>
      </c>
      <c r="D255" s="69"/>
      <c r="E255" s="69"/>
      <c r="F255" s="87"/>
      <c r="G255" s="86"/>
      <c r="H255" s="204">
        <f t="shared" si="32"/>
        <v>0</v>
      </c>
      <c r="I255" s="204">
        <f t="shared" si="32"/>
        <v>0</v>
      </c>
      <c r="J255" s="87"/>
      <c r="K255" s="69">
        <f t="shared" si="33"/>
        <v>0</v>
      </c>
      <c r="L255" s="123">
        <f t="shared" si="34"/>
        <v>0</v>
      </c>
      <c r="M255" s="87"/>
      <c r="N255" s="135" t="s">
        <v>700</v>
      </c>
      <c r="O255" s="136" t="s">
        <v>517</v>
      </c>
      <c r="P255" s="96" t="s">
        <v>32</v>
      </c>
      <c r="Q255" s="155"/>
      <c r="R255" s="157"/>
    </row>
    <row r="256" spans="1:28">
      <c r="A256" s="66"/>
      <c r="B256" s="216" t="s">
        <v>518</v>
      </c>
      <c r="C256" s="215" t="s">
        <v>123</v>
      </c>
      <c r="D256" s="69"/>
      <c r="E256" s="69"/>
      <c r="F256" s="87"/>
      <c r="G256" s="86"/>
      <c r="H256" s="204">
        <f t="shared" si="32"/>
        <v>0</v>
      </c>
      <c r="I256" s="204">
        <f t="shared" si="32"/>
        <v>0</v>
      </c>
      <c r="J256" s="87"/>
      <c r="K256" s="69">
        <f t="shared" si="33"/>
        <v>0</v>
      </c>
      <c r="L256" s="123">
        <f t="shared" si="34"/>
        <v>0</v>
      </c>
      <c r="M256" s="87"/>
      <c r="N256" s="135" t="s">
        <v>701</v>
      </c>
      <c r="O256" s="136" t="s">
        <v>519</v>
      </c>
      <c r="P256" s="96" t="s">
        <v>27</v>
      </c>
      <c r="Q256" s="155"/>
      <c r="R256" s="157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spans="1:28">
      <c r="A257" s="66"/>
      <c r="B257" s="214" t="s">
        <v>520</v>
      </c>
      <c r="C257" s="215" t="s">
        <v>123</v>
      </c>
      <c r="D257" s="69"/>
      <c r="E257" s="69"/>
      <c r="F257" s="87"/>
      <c r="G257" s="86"/>
      <c r="H257" s="204">
        <f t="shared" si="32"/>
        <v>0</v>
      </c>
      <c r="I257" s="204">
        <f t="shared" si="32"/>
        <v>0</v>
      </c>
      <c r="J257" s="87"/>
      <c r="K257" s="69">
        <f t="shared" si="33"/>
        <v>0</v>
      </c>
      <c r="L257" s="123">
        <f t="shared" si="34"/>
        <v>0</v>
      </c>
      <c r="M257" s="87"/>
      <c r="N257" s="135" t="s">
        <v>702</v>
      </c>
      <c r="O257" s="136" t="s">
        <v>521</v>
      </c>
      <c r="P257" s="96" t="s">
        <v>32</v>
      </c>
      <c r="Q257" s="155"/>
      <c r="R257" s="157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spans="1:28">
      <c r="A258" s="66"/>
      <c r="B258" s="214" t="s">
        <v>522</v>
      </c>
      <c r="C258" s="215" t="s">
        <v>123</v>
      </c>
      <c r="D258" s="69"/>
      <c r="E258" s="69"/>
      <c r="F258" s="87"/>
      <c r="G258" s="86"/>
      <c r="H258" s="204">
        <f t="shared" si="32"/>
        <v>0</v>
      </c>
      <c r="I258" s="204">
        <f t="shared" si="32"/>
        <v>0</v>
      </c>
      <c r="J258" s="87"/>
      <c r="K258" s="69">
        <f t="shared" si="33"/>
        <v>0</v>
      </c>
      <c r="L258" s="123">
        <f t="shared" si="34"/>
        <v>0</v>
      </c>
      <c r="M258" s="87"/>
      <c r="N258" s="135" t="s">
        <v>703</v>
      </c>
      <c r="O258" s="136" t="s">
        <v>523</v>
      </c>
      <c r="P258" s="96" t="s">
        <v>27</v>
      </c>
      <c r="Q258" s="155"/>
      <c r="R258" s="157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spans="1:28">
      <c r="A259" s="66"/>
      <c r="B259" s="216" t="s">
        <v>524</v>
      </c>
      <c r="C259" s="215" t="s">
        <v>123</v>
      </c>
      <c r="D259" s="69"/>
      <c r="E259" s="69"/>
      <c r="F259" s="87"/>
      <c r="G259" s="86"/>
      <c r="H259" s="204">
        <f t="shared" si="32"/>
        <v>0</v>
      </c>
      <c r="I259" s="204">
        <f t="shared" si="32"/>
        <v>0</v>
      </c>
      <c r="J259" s="87"/>
      <c r="K259" s="69">
        <f t="shared" si="33"/>
        <v>0</v>
      </c>
      <c r="L259" s="123">
        <f t="shared" si="34"/>
        <v>0</v>
      </c>
      <c r="M259" s="87"/>
      <c r="N259" s="135" t="s">
        <v>704</v>
      </c>
      <c r="O259" s="136" t="s">
        <v>525</v>
      </c>
      <c r="P259" s="96" t="s">
        <v>32</v>
      </c>
      <c r="Q259" s="155"/>
      <c r="R259" s="157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spans="1:28">
      <c r="A260" s="66"/>
      <c r="B260" s="216" t="s">
        <v>526</v>
      </c>
      <c r="C260" s="215" t="s">
        <v>123</v>
      </c>
      <c r="D260" s="69"/>
      <c r="E260" s="69"/>
      <c r="F260" s="87"/>
      <c r="G260" s="86"/>
      <c r="H260" s="204">
        <f t="shared" si="32"/>
        <v>0</v>
      </c>
      <c r="I260" s="204">
        <f t="shared" si="32"/>
        <v>0</v>
      </c>
      <c r="J260" s="87"/>
      <c r="K260" s="69">
        <f t="shared" si="33"/>
        <v>0</v>
      </c>
      <c r="L260" s="123">
        <f t="shared" si="34"/>
        <v>0</v>
      </c>
      <c r="M260" s="87"/>
      <c r="N260" s="135" t="s">
        <v>705</v>
      </c>
      <c r="O260" s="136" t="s">
        <v>527</v>
      </c>
      <c r="P260" s="96" t="s">
        <v>27</v>
      </c>
      <c r="Q260" s="155"/>
      <c r="R260" s="157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spans="1:28">
      <c r="A261" s="66" t="s">
        <v>127</v>
      </c>
      <c r="B261" s="106" t="s">
        <v>528</v>
      </c>
      <c r="C261" s="68"/>
      <c r="D261" s="69"/>
      <c r="E261" s="69"/>
      <c r="F261" s="87"/>
      <c r="G261" s="86"/>
      <c r="H261" s="204">
        <f t="shared" si="32"/>
        <v>0</v>
      </c>
      <c r="I261" s="204">
        <f t="shared" si="32"/>
        <v>0</v>
      </c>
      <c r="J261" s="87"/>
      <c r="K261" s="69">
        <f t="shared" si="33"/>
        <v>0</v>
      </c>
      <c r="L261" s="123">
        <f t="shared" si="34"/>
        <v>0</v>
      </c>
      <c r="M261" s="87"/>
      <c r="N261" s="56"/>
      <c r="O261" s="56"/>
      <c r="P261" s="87"/>
      <c r="Q261" s="156"/>
      <c r="R261" s="157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spans="1:28">
      <c r="A262" s="66"/>
      <c r="B262" s="214" t="s">
        <v>529</v>
      </c>
      <c r="C262" s="215" t="s">
        <v>123</v>
      </c>
      <c r="D262" s="69"/>
      <c r="E262" s="69"/>
      <c r="F262" s="87"/>
      <c r="G262" s="86"/>
      <c r="H262" s="204">
        <f t="shared" si="32"/>
        <v>0</v>
      </c>
      <c r="I262" s="204">
        <f t="shared" si="32"/>
        <v>0</v>
      </c>
      <c r="J262" s="87"/>
      <c r="K262" s="69">
        <f t="shared" si="33"/>
        <v>0</v>
      </c>
      <c r="L262" s="123">
        <f t="shared" si="34"/>
        <v>0</v>
      </c>
      <c r="M262" s="87"/>
      <c r="N262" s="135" t="s">
        <v>706</v>
      </c>
      <c r="O262" s="136" t="s">
        <v>530</v>
      </c>
      <c r="P262" s="96" t="s">
        <v>32</v>
      </c>
      <c r="Q262" s="155"/>
      <c r="R262" s="157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spans="1:28">
      <c r="A263" s="66"/>
      <c r="B263" s="214" t="s">
        <v>531</v>
      </c>
      <c r="C263" s="215" t="s">
        <v>123</v>
      </c>
      <c r="D263" s="69"/>
      <c r="E263" s="69"/>
      <c r="F263" s="87"/>
      <c r="G263" s="86"/>
      <c r="H263" s="204">
        <f t="shared" si="32"/>
        <v>0</v>
      </c>
      <c r="I263" s="204">
        <f t="shared" si="32"/>
        <v>0</v>
      </c>
      <c r="J263" s="87"/>
      <c r="K263" s="69">
        <f t="shared" si="33"/>
        <v>0</v>
      </c>
      <c r="L263" s="123">
        <f t="shared" si="34"/>
        <v>0</v>
      </c>
      <c r="M263" s="87"/>
      <c r="N263" s="135" t="s">
        <v>707</v>
      </c>
      <c r="O263" s="136" t="s">
        <v>532</v>
      </c>
      <c r="P263" s="96" t="s">
        <v>27</v>
      </c>
      <c r="Q263" s="155"/>
      <c r="R263" s="157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spans="1:28">
      <c r="A264" s="66"/>
      <c r="B264" s="216" t="s">
        <v>533</v>
      </c>
      <c r="C264" s="215" t="s">
        <v>123</v>
      </c>
      <c r="D264" s="69"/>
      <c r="E264" s="69"/>
      <c r="F264" s="87"/>
      <c r="G264" s="86"/>
      <c r="H264" s="204">
        <f t="shared" si="32"/>
        <v>0</v>
      </c>
      <c r="I264" s="204">
        <f t="shared" si="32"/>
        <v>0</v>
      </c>
      <c r="J264" s="87"/>
      <c r="K264" s="69">
        <f t="shared" si="33"/>
        <v>0</v>
      </c>
      <c r="L264" s="123">
        <f t="shared" si="34"/>
        <v>0</v>
      </c>
      <c r="M264" s="87"/>
      <c r="N264" s="135" t="s">
        <v>708</v>
      </c>
      <c r="O264" s="136" t="s">
        <v>534</v>
      </c>
      <c r="P264" s="96" t="s">
        <v>32</v>
      </c>
      <c r="Q264" s="155"/>
      <c r="R264" s="157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spans="1:28">
      <c r="A265" s="66"/>
      <c r="B265" s="216" t="s">
        <v>535</v>
      </c>
      <c r="C265" s="215" t="s">
        <v>123</v>
      </c>
      <c r="D265" s="69"/>
      <c r="E265" s="69"/>
      <c r="F265" s="87"/>
      <c r="G265" s="86"/>
      <c r="H265" s="204">
        <f t="shared" si="32"/>
        <v>0</v>
      </c>
      <c r="I265" s="204">
        <f t="shared" si="32"/>
        <v>0</v>
      </c>
      <c r="J265" s="87"/>
      <c r="K265" s="69">
        <f t="shared" si="33"/>
        <v>0</v>
      </c>
      <c r="L265" s="123">
        <f t="shared" si="34"/>
        <v>0</v>
      </c>
      <c r="M265" s="87"/>
      <c r="N265" s="135" t="s">
        <v>709</v>
      </c>
      <c r="O265" s="136" t="s">
        <v>536</v>
      </c>
      <c r="P265" s="96" t="s">
        <v>27</v>
      </c>
      <c r="Q265" s="155"/>
      <c r="R265" s="157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spans="1:28">
      <c r="A266" s="66"/>
      <c r="B266" s="214" t="s">
        <v>537</v>
      </c>
      <c r="C266" s="215" t="s">
        <v>123</v>
      </c>
      <c r="D266" s="69"/>
      <c r="E266" s="69"/>
      <c r="F266" s="87"/>
      <c r="G266" s="86"/>
      <c r="H266" s="204">
        <f t="shared" si="32"/>
        <v>0</v>
      </c>
      <c r="I266" s="204">
        <f t="shared" si="32"/>
        <v>0</v>
      </c>
      <c r="J266" s="87"/>
      <c r="K266" s="69">
        <f t="shared" si="33"/>
        <v>0</v>
      </c>
      <c r="L266" s="123">
        <f t="shared" si="34"/>
        <v>0</v>
      </c>
      <c r="M266" s="87"/>
      <c r="N266" s="135" t="s">
        <v>710</v>
      </c>
      <c r="O266" s="136" t="s">
        <v>538</v>
      </c>
      <c r="P266" s="96" t="s">
        <v>32</v>
      </c>
      <c r="Q266" s="155"/>
      <c r="R266" s="157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spans="1:28">
      <c r="A267" s="66"/>
      <c r="B267" s="214" t="s">
        <v>539</v>
      </c>
      <c r="C267" s="215" t="s">
        <v>123</v>
      </c>
      <c r="D267" s="69"/>
      <c r="E267" s="69"/>
      <c r="F267" s="87"/>
      <c r="G267" s="86"/>
      <c r="H267" s="204">
        <f t="shared" si="32"/>
        <v>0</v>
      </c>
      <c r="I267" s="204">
        <f t="shared" si="32"/>
        <v>0</v>
      </c>
      <c r="J267" s="87"/>
      <c r="K267" s="69">
        <f t="shared" si="33"/>
        <v>0</v>
      </c>
      <c r="L267" s="123">
        <f t="shared" si="34"/>
        <v>0</v>
      </c>
      <c r="M267" s="87"/>
      <c r="N267" s="135" t="s">
        <v>711</v>
      </c>
      <c r="O267" s="136" t="s">
        <v>540</v>
      </c>
      <c r="P267" s="96" t="s">
        <v>27</v>
      </c>
      <c r="Q267" s="155"/>
      <c r="R267" s="157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spans="1:28">
      <c r="A268" s="66"/>
      <c r="B268" s="216" t="s">
        <v>516</v>
      </c>
      <c r="C268" s="215" t="s">
        <v>123</v>
      </c>
      <c r="D268" s="69"/>
      <c r="E268" s="69"/>
      <c r="F268" s="87"/>
      <c r="G268" s="86"/>
      <c r="H268" s="204">
        <f t="shared" si="32"/>
        <v>0</v>
      </c>
      <c r="I268" s="204">
        <f t="shared" si="32"/>
        <v>0</v>
      </c>
      <c r="J268" s="87"/>
      <c r="K268" s="69">
        <f t="shared" si="33"/>
        <v>0</v>
      </c>
      <c r="L268" s="123">
        <f t="shared" si="34"/>
        <v>0</v>
      </c>
      <c r="M268" s="87"/>
      <c r="N268" s="135" t="s">
        <v>712</v>
      </c>
      <c r="O268" s="136" t="s">
        <v>541</v>
      </c>
      <c r="P268" s="96" t="s">
        <v>32</v>
      </c>
      <c r="Q268" s="155"/>
      <c r="R268" s="157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spans="1:28">
      <c r="A269" s="66"/>
      <c r="B269" s="216" t="s">
        <v>518</v>
      </c>
      <c r="C269" s="215" t="s">
        <v>123</v>
      </c>
      <c r="D269" s="69"/>
      <c r="E269" s="69"/>
      <c r="F269" s="87"/>
      <c r="G269" s="86"/>
      <c r="H269" s="204">
        <f t="shared" si="32"/>
        <v>0</v>
      </c>
      <c r="I269" s="204">
        <f t="shared" si="32"/>
        <v>0</v>
      </c>
      <c r="J269" s="87"/>
      <c r="K269" s="69">
        <f t="shared" si="33"/>
        <v>0</v>
      </c>
      <c r="L269" s="123">
        <f t="shared" si="34"/>
        <v>0</v>
      </c>
      <c r="M269" s="87"/>
      <c r="N269" s="135" t="s">
        <v>713</v>
      </c>
      <c r="O269" s="136" t="s">
        <v>542</v>
      </c>
      <c r="P269" s="96" t="s">
        <v>27</v>
      </c>
      <c r="Q269" s="155"/>
      <c r="R269" s="157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spans="1:28">
      <c r="A270" s="66" t="s">
        <v>133</v>
      </c>
      <c r="B270" s="106" t="s">
        <v>543</v>
      </c>
      <c r="C270" s="68"/>
      <c r="D270" s="69"/>
      <c r="E270" s="69"/>
      <c r="F270" s="87"/>
      <c r="G270" s="86"/>
      <c r="H270" s="204">
        <f t="shared" si="32"/>
        <v>0</v>
      </c>
      <c r="I270" s="204">
        <f t="shared" si="32"/>
        <v>0</v>
      </c>
      <c r="J270" s="87"/>
      <c r="K270" s="69">
        <f t="shared" si="33"/>
        <v>0</v>
      </c>
      <c r="L270" s="123">
        <f t="shared" si="34"/>
        <v>0</v>
      </c>
      <c r="M270" s="87"/>
      <c r="N270" s="56"/>
      <c r="O270" s="56"/>
      <c r="P270" s="87"/>
      <c r="Q270" s="156"/>
      <c r="R270" s="157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spans="1:28">
      <c r="A271" s="66"/>
      <c r="B271" s="106" t="s">
        <v>544</v>
      </c>
      <c r="C271" s="194" t="s">
        <v>198</v>
      </c>
      <c r="D271" s="69"/>
      <c r="E271" s="69"/>
      <c r="F271" s="87"/>
      <c r="G271" s="86"/>
      <c r="H271" s="204">
        <f t="shared" si="32"/>
        <v>0</v>
      </c>
      <c r="I271" s="204">
        <f t="shared" si="32"/>
        <v>0</v>
      </c>
      <c r="J271" s="87"/>
      <c r="K271" s="69">
        <f t="shared" si="33"/>
        <v>0</v>
      </c>
      <c r="L271" s="123">
        <f t="shared" si="34"/>
        <v>0</v>
      </c>
      <c r="M271" s="87"/>
      <c r="N271" s="135" t="s">
        <v>714</v>
      </c>
      <c r="O271" s="195" t="s">
        <v>545</v>
      </c>
      <c r="P271" s="96" t="s">
        <v>32</v>
      </c>
      <c r="Q271" s="155"/>
      <c r="R271" s="147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spans="1:18">
      <c r="A272" s="66"/>
      <c r="B272" s="106" t="s">
        <v>546</v>
      </c>
      <c r="C272" s="194" t="s">
        <v>198</v>
      </c>
      <c r="D272" s="69"/>
      <c r="E272" s="69"/>
      <c r="F272" s="87"/>
      <c r="G272" s="86"/>
      <c r="H272" s="204">
        <f t="shared" si="32"/>
        <v>0</v>
      </c>
      <c r="I272" s="204">
        <f t="shared" si="32"/>
        <v>0</v>
      </c>
      <c r="J272" s="87"/>
      <c r="K272" s="69">
        <f t="shared" si="33"/>
        <v>0</v>
      </c>
      <c r="L272" s="123">
        <f t="shared" si="34"/>
        <v>0</v>
      </c>
      <c r="M272" s="87"/>
      <c r="N272" s="135" t="s">
        <v>715</v>
      </c>
      <c r="O272" s="136" t="s">
        <v>547</v>
      </c>
      <c r="P272" s="96" t="s">
        <v>32</v>
      </c>
      <c r="Q272" s="155"/>
      <c r="R272" s="147"/>
    </row>
    <row r="273" spans="1:18">
      <c r="A273" s="66"/>
      <c r="B273" s="106" t="s">
        <v>548</v>
      </c>
      <c r="C273" s="194" t="s">
        <v>198</v>
      </c>
      <c r="D273" s="69"/>
      <c r="E273" s="69"/>
      <c r="F273" s="87"/>
      <c r="G273" s="86"/>
      <c r="H273" s="204">
        <f t="shared" si="32"/>
        <v>0</v>
      </c>
      <c r="I273" s="204">
        <f t="shared" si="32"/>
        <v>0</v>
      </c>
      <c r="J273" s="87"/>
      <c r="K273" s="69">
        <f t="shared" si="33"/>
        <v>0</v>
      </c>
      <c r="L273" s="123">
        <f t="shared" si="34"/>
        <v>0</v>
      </c>
      <c r="M273" s="87"/>
      <c r="N273" s="135" t="s">
        <v>716</v>
      </c>
      <c r="O273" s="136" t="s">
        <v>549</v>
      </c>
      <c r="P273" s="96" t="s">
        <v>32</v>
      </c>
      <c r="Q273" s="155"/>
      <c r="R273" s="147"/>
    </row>
    <row r="274" spans="1:18">
      <c r="A274" s="66"/>
      <c r="B274" s="106" t="s">
        <v>550</v>
      </c>
      <c r="C274" s="194" t="s">
        <v>198</v>
      </c>
      <c r="D274" s="69"/>
      <c r="E274" s="69"/>
      <c r="F274" s="87"/>
      <c r="G274" s="86"/>
      <c r="H274" s="204">
        <f t="shared" si="32"/>
        <v>0</v>
      </c>
      <c r="I274" s="204">
        <f t="shared" si="32"/>
        <v>0</v>
      </c>
      <c r="J274" s="87"/>
      <c r="K274" s="69">
        <f t="shared" si="33"/>
        <v>0</v>
      </c>
      <c r="L274" s="123">
        <f t="shared" si="34"/>
        <v>0</v>
      </c>
      <c r="M274" s="87"/>
      <c r="N274" s="135" t="s">
        <v>717</v>
      </c>
      <c r="O274" s="136" t="s">
        <v>551</v>
      </c>
      <c r="P274" s="96" t="s">
        <v>32</v>
      </c>
      <c r="Q274" s="155"/>
      <c r="R274" s="147"/>
    </row>
    <row r="275" spans="1:18">
      <c r="A275" s="66"/>
      <c r="B275" s="106" t="s">
        <v>552</v>
      </c>
      <c r="C275" s="194" t="s">
        <v>198</v>
      </c>
      <c r="D275" s="69"/>
      <c r="E275" s="69"/>
      <c r="F275" s="87"/>
      <c r="G275" s="86"/>
      <c r="H275" s="204">
        <f t="shared" si="32"/>
        <v>0</v>
      </c>
      <c r="I275" s="204">
        <f t="shared" si="32"/>
        <v>0</v>
      </c>
      <c r="J275" s="87"/>
      <c r="K275" s="69">
        <f t="shared" si="33"/>
        <v>0</v>
      </c>
      <c r="L275" s="123">
        <f t="shared" si="34"/>
        <v>0</v>
      </c>
      <c r="M275" s="87"/>
      <c r="N275" s="135" t="s">
        <v>718</v>
      </c>
      <c r="O275" s="136" t="s">
        <v>553</v>
      </c>
      <c r="P275" s="96" t="s">
        <v>32</v>
      </c>
      <c r="Q275" s="155"/>
      <c r="R275" s="147"/>
    </row>
    <row r="276" spans="1:18">
      <c r="A276" s="66" t="s">
        <v>139</v>
      </c>
      <c r="B276" s="106" t="s">
        <v>554</v>
      </c>
      <c r="C276" s="194"/>
      <c r="D276" s="69"/>
      <c r="E276" s="69"/>
      <c r="F276" s="87"/>
      <c r="G276" s="86"/>
      <c r="H276" s="204">
        <f t="shared" si="32"/>
        <v>0</v>
      </c>
      <c r="I276" s="204">
        <f t="shared" si="32"/>
        <v>0</v>
      </c>
      <c r="J276" s="87"/>
      <c r="K276" s="69">
        <f t="shared" si="33"/>
        <v>0</v>
      </c>
      <c r="L276" s="123">
        <f t="shared" si="34"/>
        <v>0</v>
      </c>
      <c r="M276" s="87"/>
      <c r="N276" s="56"/>
      <c r="O276" s="56"/>
      <c r="P276" s="87"/>
      <c r="Q276" s="156"/>
      <c r="R276" s="157"/>
    </row>
    <row r="277" spans="1:18">
      <c r="A277" s="66"/>
      <c r="B277" s="106" t="s">
        <v>555</v>
      </c>
      <c r="C277" s="68" t="s">
        <v>198</v>
      </c>
      <c r="D277" s="69"/>
      <c r="E277" s="69"/>
      <c r="F277" s="87"/>
      <c r="G277" s="86"/>
      <c r="H277" s="204">
        <f t="shared" si="32"/>
        <v>0</v>
      </c>
      <c r="I277" s="204">
        <f t="shared" si="32"/>
        <v>0</v>
      </c>
      <c r="J277" s="87"/>
      <c r="K277" s="69">
        <f t="shared" si="33"/>
        <v>0</v>
      </c>
      <c r="L277" s="123">
        <f t="shared" si="34"/>
        <v>0</v>
      </c>
      <c r="M277" s="87"/>
      <c r="N277" s="145">
        <v>200000069</v>
      </c>
      <c r="O277" s="95" t="s">
        <v>556</v>
      </c>
      <c r="P277" s="96" t="s">
        <v>32</v>
      </c>
      <c r="Q277" s="155"/>
      <c r="R277" s="147"/>
    </row>
    <row r="278" spans="1:18">
      <c r="A278" s="66"/>
      <c r="B278" s="106" t="s">
        <v>557</v>
      </c>
      <c r="C278" s="68" t="s">
        <v>198</v>
      </c>
      <c r="D278" s="69"/>
      <c r="E278" s="69"/>
      <c r="F278" s="87"/>
      <c r="G278" s="86"/>
      <c r="H278" s="204">
        <f t="shared" si="32"/>
        <v>0</v>
      </c>
      <c r="I278" s="204">
        <f t="shared" si="32"/>
        <v>0</v>
      </c>
      <c r="J278" s="87"/>
      <c r="K278" s="69">
        <f t="shared" si="33"/>
        <v>0</v>
      </c>
      <c r="L278" s="123">
        <f t="shared" si="34"/>
        <v>0</v>
      </c>
      <c r="M278" s="87"/>
      <c r="N278" s="135" t="s">
        <v>719</v>
      </c>
      <c r="O278" s="136" t="s">
        <v>558</v>
      </c>
      <c r="P278" s="96" t="s">
        <v>32</v>
      </c>
      <c r="Q278" s="155"/>
      <c r="R278" s="147"/>
    </row>
    <row r="279" spans="1:18">
      <c r="A279" s="66"/>
      <c r="B279" s="106" t="s">
        <v>559</v>
      </c>
      <c r="C279" s="68" t="s">
        <v>198</v>
      </c>
      <c r="D279" s="69"/>
      <c r="E279" s="69"/>
      <c r="F279" s="87"/>
      <c r="G279" s="86"/>
      <c r="H279" s="204">
        <f t="shared" si="32"/>
        <v>0</v>
      </c>
      <c r="I279" s="204">
        <f t="shared" si="32"/>
        <v>0</v>
      </c>
      <c r="J279" s="87"/>
      <c r="K279" s="69">
        <f t="shared" si="33"/>
        <v>0</v>
      </c>
      <c r="L279" s="123">
        <f t="shared" si="34"/>
        <v>0</v>
      </c>
      <c r="M279" s="87"/>
      <c r="N279" s="135" t="s">
        <v>720</v>
      </c>
      <c r="O279" s="136" t="s">
        <v>560</v>
      </c>
      <c r="P279" s="96" t="s">
        <v>32</v>
      </c>
      <c r="Q279" s="155"/>
      <c r="R279" s="147"/>
    </row>
    <row r="280" spans="1:18">
      <c r="A280" s="66"/>
      <c r="B280" s="106" t="s">
        <v>561</v>
      </c>
      <c r="C280" s="68" t="s">
        <v>198</v>
      </c>
      <c r="D280" s="69"/>
      <c r="E280" s="69"/>
      <c r="F280" s="87"/>
      <c r="G280" s="86"/>
      <c r="H280" s="204">
        <f t="shared" si="32"/>
        <v>0</v>
      </c>
      <c r="I280" s="204">
        <f t="shared" si="32"/>
        <v>0</v>
      </c>
      <c r="J280" s="87"/>
      <c r="K280" s="69">
        <f t="shared" si="33"/>
        <v>0</v>
      </c>
      <c r="L280" s="123">
        <f t="shared" si="34"/>
        <v>0</v>
      </c>
      <c r="M280" s="87"/>
      <c r="N280" s="135" t="s">
        <v>721</v>
      </c>
      <c r="O280" s="136" t="s">
        <v>562</v>
      </c>
      <c r="P280" s="96" t="s">
        <v>32</v>
      </c>
      <c r="Q280" s="155"/>
      <c r="R280" s="147"/>
    </row>
    <row r="281" s="37" customFormat="1" spans="1:28">
      <c r="A281" s="166" t="s">
        <v>563</v>
      </c>
      <c r="B281" s="166"/>
      <c r="C281" s="226"/>
      <c r="D281" s="78"/>
      <c r="E281" s="78"/>
      <c r="F281" s="227"/>
      <c r="G281" s="79"/>
      <c r="H281" s="80">
        <f>SUM(H245:H280)</f>
        <v>0</v>
      </c>
      <c r="I281" s="80">
        <f>SUM(I245:I280)</f>
        <v>0</v>
      </c>
      <c r="J281" s="80">
        <f>H281+I281</f>
        <v>0</v>
      </c>
      <c r="K281" s="227"/>
      <c r="L281" s="227"/>
      <c r="M281" s="227"/>
      <c r="N281" s="264"/>
      <c r="O281" s="264"/>
      <c r="P281" s="227"/>
      <c r="Q281" s="155"/>
      <c r="R281" s="147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 spans="1:18">
      <c r="A282" s="228"/>
      <c r="B282" s="202"/>
      <c r="C282" s="168"/>
      <c r="D282" s="85"/>
      <c r="E282" s="85"/>
      <c r="F282" s="170"/>
      <c r="G282" s="86"/>
      <c r="H282" s="170"/>
      <c r="I282" s="170"/>
      <c r="J282" s="170"/>
      <c r="K282" s="170"/>
      <c r="L282" s="170"/>
      <c r="M282" s="170"/>
      <c r="N282" s="185"/>
      <c r="O282" s="185"/>
      <c r="P282" s="265"/>
      <c r="Q282" s="155"/>
      <c r="R282" s="147"/>
    </row>
    <row r="283" s="36" customFormat="1" spans="1:28">
      <c r="A283" s="61">
        <v>2.5</v>
      </c>
      <c r="B283" s="62" t="s">
        <v>564</v>
      </c>
      <c r="C283" s="63"/>
      <c r="D283" s="93"/>
      <c r="E283" s="93"/>
      <c r="F283" s="229"/>
      <c r="G283" s="229"/>
      <c r="H283" s="229"/>
      <c r="I283" s="229"/>
      <c r="J283" s="65"/>
      <c r="K283" s="229"/>
      <c r="L283" s="229"/>
      <c r="M283" s="229"/>
      <c r="N283" s="63"/>
      <c r="O283" s="63"/>
      <c r="P283" s="229"/>
      <c r="Q283" s="276"/>
      <c r="R283" s="147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 spans="1:18">
      <c r="A284" s="66"/>
      <c r="B284" s="106" t="s">
        <v>565</v>
      </c>
      <c r="C284" s="68"/>
      <c r="D284" s="69"/>
      <c r="E284" s="69"/>
      <c r="F284" s="230"/>
      <c r="G284" s="86"/>
      <c r="H284" s="204">
        <f t="shared" ref="H284:H287" si="35">D284*F284</f>
        <v>0</v>
      </c>
      <c r="I284" s="266">
        <f>E284*G284</f>
        <v>0</v>
      </c>
      <c r="J284" s="132"/>
      <c r="K284" s="69">
        <f>D284+E284</f>
        <v>0</v>
      </c>
      <c r="L284" s="123">
        <f t="shared" ref="L284:L287" si="36">F284+G284</f>
        <v>0</v>
      </c>
      <c r="M284" s="230"/>
      <c r="N284" s="68"/>
      <c r="O284" s="68"/>
      <c r="P284" s="230"/>
      <c r="Q284" s="276"/>
      <c r="R284" s="147"/>
    </row>
    <row r="285" spans="1:18">
      <c r="A285" s="66" t="s">
        <v>566</v>
      </c>
      <c r="B285" s="95" t="s">
        <v>567</v>
      </c>
      <c r="C285" s="162" t="s">
        <v>205</v>
      </c>
      <c r="D285" s="69"/>
      <c r="E285" s="70">
        <f>'BoM AE'!O62</f>
        <v>0</v>
      </c>
      <c r="F285" s="96"/>
      <c r="G285" s="134"/>
      <c r="H285" s="204">
        <f t="shared" si="35"/>
        <v>0</v>
      </c>
      <c r="I285" s="266">
        <f>E285*G285</f>
        <v>0</v>
      </c>
      <c r="J285" s="132"/>
      <c r="K285" s="69">
        <f t="shared" ref="K285:K287" si="37">D285+E285</f>
        <v>0</v>
      </c>
      <c r="L285" s="123">
        <f t="shared" si="36"/>
        <v>0</v>
      </c>
      <c r="M285" s="230"/>
      <c r="N285" s="135" t="s">
        <v>722</v>
      </c>
      <c r="O285" s="136" t="s">
        <v>568</v>
      </c>
      <c r="P285" s="96" t="s">
        <v>27</v>
      </c>
      <c r="Q285" s="155"/>
      <c r="R285" s="147"/>
    </row>
    <row r="286" spans="1:18">
      <c r="A286" s="144" t="s">
        <v>569</v>
      </c>
      <c r="B286" s="95" t="s">
        <v>570</v>
      </c>
      <c r="C286" s="162" t="s">
        <v>205</v>
      </c>
      <c r="D286" s="69"/>
      <c r="E286" s="98">
        <f>'BoM AE'!O63</f>
        <v>0</v>
      </c>
      <c r="F286" s="96"/>
      <c r="G286" s="71"/>
      <c r="H286" s="204">
        <f t="shared" si="35"/>
        <v>0</v>
      </c>
      <c r="I286" s="266">
        <f>E286*G286</f>
        <v>0</v>
      </c>
      <c r="J286" s="132"/>
      <c r="K286" s="69">
        <f t="shared" si="37"/>
        <v>0</v>
      </c>
      <c r="L286" s="123">
        <f t="shared" si="36"/>
        <v>0</v>
      </c>
      <c r="M286" s="133"/>
      <c r="N286" s="135" t="s">
        <v>723</v>
      </c>
      <c r="O286" s="136" t="s">
        <v>571</v>
      </c>
      <c r="P286" s="96" t="s">
        <v>27</v>
      </c>
      <c r="Q286" s="155"/>
      <c r="R286" s="147"/>
    </row>
    <row r="287" spans="1:18">
      <c r="A287" s="144" t="s">
        <v>572</v>
      </c>
      <c r="B287" s="95" t="s">
        <v>573</v>
      </c>
      <c r="C287" s="162" t="s">
        <v>205</v>
      </c>
      <c r="D287" s="69"/>
      <c r="E287" s="69"/>
      <c r="F287" s="134"/>
      <c r="G287" s="71"/>
      <c r="H287" s="204">
        <f t="shared" si="35"/>
        <v>0</v>
      </c>
      <c r="I287" s="266">
        <f>E287*G287</f>
        <v>0</v>
      </c>
      <c r="J287" s="132"/>
      <c r="K287" s="69">
        <f t="shared" si="37"/>
        <v>0</v>
      </c>
      <c r="L287" s="123">
        <f t="shared" si="36"/>
        <v>0</v>
      </c>
      <c r="M287" s="133"/>
      <c r="N287" s="135" t="s">
        <v>724</v>
      </c>
      <c r="O287" s="136" t="s">
        <v>574</v>
      </c>
      <c r="P287" s="96" t="s">
        <v>27</v>
      </c>
      <c r="Q287" s="155"/>
      <c r="R287" s="147"/>
    </row>
    <row r="288" s="37" customFormat="1" spans="1:28">
      <c r="A288" s="166" t="s">
        <v>575</v>
      </c>
      <c r="B288" s="166"/>
      <c r="C288" s="231"/>
      <c r="D288" s="78"/>
      <c r="E288" s="78"/>
      <c r="F288" s="232"/>
      <c r="G288" s="79"/>
      <c r="H288" s="80">
        <f>SUM(H284:H287)</f>
        <v>0</v>
      </c>
      <c r="I288" s="267">
        <f>SUM(I284:I287)</f>
        <v>0</v>
      </c>
      <c r="J288" s="236">
        <f>H288+I288</f>
        <v>0</v>
      </c>
      <c r="K288" s="267"/>
      <c r="L288" s="267"/>
      <c r="M288" s="232"/>
      <c r="N288" s="166"/>
      <c r="O288" s="231"/>
      <c r="P288" s="232"/>
      <c r="Q288" s="277"/>
      <c r="R288" s="157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 spans="1:18">
      <c r="A289" s="66"/>
      <c r="B289" s="233"/>
      <c r="C289" s="169"/>
      <c r="D289" s="85"/>
      <c r="E289" s="85"/>
      <c r="F289" s="170"/>
      <c r="G289" s="86"/>
      <c r="H289" s="234"/>
      <c r="I289" s="234"/>
      <c r="J289" s="234"/>
      <c r="K289" s="234"/>
      <c r="L289" s="234"/>
      <c r="M289" s="184"/>
      <c r="N289" s="169"/>
      <c r="O289" s="169"/>
      <c r="P289" s="186"/>
      <c r="Q289" s="155"/>
      <c r="R289" s="147"/>
    </row>
    <row r="290" s="36" customFormat="1" spans="1:28">
      <c r="A290" s="61">
        <v>2.6</v>
      </c>
      <c r="B290" s="62" t="s">
        <v>576</v>
      </c>
      <c r="C290" s="63"/>
      <c r="D290" s="93"/>
      <c r="E290" s="93"/>
      <c r="F290" s="63"/>
      <c r="G290" s="63"/>
      <c r="H290" s="63"/>
      <c r="I290" s="63"/>
      <c r="J290" s="122"/>
      <c r="K290" s="63"/>
      <c r="L290" s="63"/>
      <c r="M290" s="65"/>
      <c r="N290" s="122"/>
      <c r="O290" s="122"/>
      <c r="P290" s="65"/>
      <c r="Q290" s="155"/>
      <c r="R290" s="147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 spans="1:18">
      <c r="A291" s="144" t="s">
        <v>39</v>
      </c>
      <c r="B291" s="107" t="s">
        <v>577</v>
      </c>
      <c r="C291" s="235" t="s">
        <v>42</v>
      </c>
      <c r="D291" s="69"/>
      <c r="E291" s="70">
        <f>SUM('BoM AE'!O9:O15)</f>
        <v>0</v>
      </c>
      <c r="F291" s="96"/>
      <c r="G291" s="71"/>
      <c r="H291" s="204">
        <f>D291*F291</f>
        <v>0</v>
      </c>
      <c r="I291" s="86">
        <f>E291*G291</f>
        <v>0</v>
      </c>
      <c r="J291" s="86"/>
      <c r="K291" s="69">
        <f>D291+E291</f>
        <v>0</v>
      </c>
      <c r="L291" s="123">
        <f>F291+G291</f>
        <v>0</v>
      </c>
      <c r="M291" s="133"/>
      <c r="N291" s="144">
        <v>500001519</v>
      </c>
      <c r="O291" s="187" t="s">
        <v>578</v>
      </c>
      <c r="P291" s="133"/>
      <c r="Q291" s="155"/>
      <c r="R291" s="147"/>
    </row>
    <row r="292" ht="27.6" spans="1:18">
      <c r="A292" s="66" t="s">
        <v>96</v>
      </c>
      <c r="B292" s="107" t="s">
        <v>579</v>
      </c>
      <c r="C292" s="235" t="s">
        <v>580</v>
      </c>
      <c r="D292" s="69"/>
      <c r="E292" s="70">
        <v>1</v>
      </c>
      <c r="F292" s="96"/>
      <c r="G292" s="71"/>
      <c r="H292" s="204">
        <f>D292*F292</f>
        <v>0</v>
      </c>
      <c r="I292" s="86">
        <f>E292*G292</f>
        <v>0</v>
      </c>
      <c r="J292" s="86"/>
      <c r="K292" s="69">
        <f>D292+E292</f>
        <v>1</v>
      </c>
      <c r="L292" s="123">
        <f>F292+G292</f>
        <v>0</v>
      </c>
      <c r="M292" s="133"/>
      <c r="N292" s="135">
        <v>500002108</v>
      </c>
      <c r="O292" s="125" t="s">
        <v>581</v>
      </c>
      <c r="P292" s="96" t="s">
        <v>27</v>
      </c>
      <c r="Q292" s="155"/>
      <c r="R292" s="147"/>
    </row>
    <row r="293" s="37" customFormat="1" spans="1:28">
      <c r="A293" s="166" t="s">
        <v>582</v>
      </c>
      <c r="B293" s="166"/>
      <c r="C293" s="166"/>
      <c r="D293" s="78"/>
      <c r="E293" s="78"/>
      <c r="F293" s="80"/>
      <c r="G293" s="236"/>
      <c r="H293" s="236">
        <f>SUM(H291:H292)</f>
        <v>0</v>
      </c>
      <c r="I293" s="236">
        <f>SUM(I291:I292)</f>
        <v>0</v>
      </c>
      <c r="J293" s="236">
        <f>H293+I293</f>
        <v>0</v>
      </c>
      <c r="K293" s="236"/>
      <c r="L293" s="236"/>
      <c r="M293" s="80"/>
      <c r="N293" s="183"/>
      <c r="O293" s="183"/>
      <c r="P293" s="80"/>
      <c r="Q293" s="156"/>
      <c r="R293" s="157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 spans="1:18">
      <c r="A294" s="66"/>
      <c r="B294" s="233"/>
      <c r="C294" s="168"/>
      <c r="D294" s="85"/>
      <c r="E294" s="85"/>
      <c r="F294" s="170"/>
      <c r="G294" s="234"/>
      <c r="H294" s="234"/>
      <c r="I294" s="234"/>
      <c r="J294" s="234"/>
      <c r="K294" s="234"/>
      <c r="L294" s="234"/>
      <c r="M294" s="170"/>
      <c r="N294" s="185"/>
      <c r="O294" s="185"/>
      <c r="P294" s="265"/>
      <c r="Q294" s="155"/>
      <c r="R294" s="147"/>
    </row>
    <row r="295" s="36" customFormat="1" spans="1:28">
      <c r="A295" s="61">
        <v>3</v>
      </c>
      <c r="B295" s="62" t="s">
        <v>583</v>
      </c>
      <c r="C295" s="63"/>
      <c r="D295" s="93"/>
      <c r="E295" s="93"/>
      <c r="F295" s="63"/>
      <c r="G295" s="63"/>
      <c r="H295" s="63"/>
      <c r="I295" s="63"/>
      <c r="J295" s="122"/>
      <c r="K295" s="63"/>
      <c r="L295" s="63"/>
      <c r="M295" s="65"/>
      <c r="N295" s="122"/>
      <c r="O295" s="122"/>
      <c r="P295" s="65"/>
      <c r="Q295" s="155"/>
      <c r="R295" s="147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 spans="1:18">
      <c r="A296" s="66" t="s">
        <v>39</v>
      </c>
      <c r="B296" s="237" t="s">
        <v>584</v>
      </c>
      <c r="C296" s="68" t="s">
        <v>42</v>
      </c>
      <c r="D296" s="69"/>
      <c r="E296" s="205">
        <f>E291</f>
        <v>0</v>
      </c>
      <c r="F296" s="96"/>
      <c r="G296" s="71"/>
      <c r="H296" s="204">
        <f>D296*F296</f>
        <v>0</v>
      </c>
      <c r="I296" s="86">
        <f>E296*G296</f>
        <v>0</v>
      </c>
      <c r="J296" s="86"/>
      <c r="K296" s="69">
        <f>D296+E296</f>
        <v>0</v>
      </c>
      <c r="L296" s="123">
        <f t="shared" ref="L296" si="38">F296+G296</f>
        <v>0</v>
      </c>
      <c r="M296" s="96"/>
      <c r="N296" s="68">
        <v>500001887</v>
      </c>
      <c r="O296" s="237" t="s">
        <v>585</v>
      </c>
      <c r="P296" s="96" t="s">
        <v>27</v>
      </c>
      <c r="Q296" s="155"/>
      <c r="R296" s="147"/>
    </row>
    <row r="297" s="37" customFormat="1" spans="1:28">
      <c r="A297" s="166" t="s">
        <v>586</v>
      </c>
      <c r="B297" s="166"/>
      <c r="C297" s="166"/>
      <c r="D297" s="78"/>
      <c r="F297" s="80"/>
      <c r="G297" s="238"/>
      <c r="H297" s="236">
        <f>SUM(H296)</f>
        <v>0</v>
      </c>
      <c r="I297" s="236">
        <f>SUM(I296)</f>
        <v>0</v>
      </c>
      <c r="J297" s="236">
        <f>H297+I297</f>
        <v>0</v>
      </c>
      <c r="K297" s="236"/>
      <c r="L297" s="236"/>
      <c r="M297" s="80"/>
      <c r="N297" s="183"/>
      <c r="O297" s="183"/>
      <c r="P297" s="80"/>
      <c r="Q297" s="156"/>
      <c r="R297" s="157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 spans="1:18">
      <c r="A298" s="239"/>
      <c r="B298" s="240"/>
      <c r="C298" s="241"/>
      <c r="D298" s="85"/>
      <c r="E298" s="85"/>
      <c r="F298" s="242"/>
      <c r="G298" s="243"/>
      <c r="H298" s="243"/>
      <c r="I298" s="243"/>
      <c r="J298" s="243"/>
      <c r="K298" s="243"/>
      <c r="L298" s="243"/>
      <c r="M298" s="250"/>
      <c r="N298" s="241"/>
      <c r="O298" s="241"/>
      <c r="P298" s="268"/>
      <c r="Q298" s="278"/>
      <c r="R298" s="279"/>
    </row>
    <row r="299" s="36" customFormat="1" spans="1:28">
      <c r="A299" s="61">
        <v>4</v>
      </c>
      <c r="B299" s="244" t="s">
        <v>587</v>
      </c>
      <c r="C299" s="122"/>
      <c r="D299" s="93"/>
      <c r="E299" s="93"/>
      <c r="F299" s="122"/>
      <c r="G299" s="122"/>
      <c r="H299" s="122"/>
      <c r="I299" s="122"/>
      <c r="J299" s="122"/>
      <c r="K299" s="122"/>
      <c r="L299" s="122"/>
      <c r="M299" s="269"/>
      <c r="N299" s="122"/>
      <c r="O299" s="122"/>
      <c r="P299" s="269"/>
      <c r="Q299" s="278"/>
      <c r="R299" s="279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 spans="1:18">
      <c r="A300" s="144" t="s">
        <v>39</v>
      </c>
      <c r="B300" s="245" t="s">
        <v>588</v>
      </c>
      <c r="C300" s="68" t="s">
        <v>30</v>
      </c>
      <c r="D300" s="69"/>
      <c r="E300" s="70">
        <v>1</v>
      </c>
      <c r="F300" s="246"/>
      <c r="G300" s="71"/>
      <c r="H300" s="204">
        <f>D300*F300</f>
        <v>0</v>
      </c>
      <c r="I300" s="270">
        <f>E300*G300</f>
        <v>0</v>
      </c>
      <c r="J300" s="270"/>
      <c r="K300" s="69">
        <f>D300+E300</f>
        <v>1</v>
      </c>
      <c r="L300" s="123">
        <f>F300+G300</f>
        <v>0</v>
      </c>
      <c r="M300" s="246"/>
      <c r="N300" s="135">
        <v>500001853</v>
      </c>
      <c r="O300" s="271" t="s">
        <v>589</v>
      </c>
      <c r="P300" s="96" t="s">
        <v>27</v>
      </c>
      <c r="Q300" s="155"/>
      <c r="R300" s="279"/>
    </row>
    <row r="301" s="37" customFormat="1" spans="1:28">
      <c r="A301" s="165" t="s">
        <v>590</v>
      </c>
      <c r="B301" s="166"/>
      <c r="C301" s="166"/>
      <c r="D301" s="247"/>
      <c r="E301" s="247"/>
      <c r="F301" s="248"/>
      <c r="G301" s="248"/>
      <c r="H301" s="236">
        <f>SUM(H300:H300)</f>
        <v>0</v>
      </c>
      <c r="I301" s="236">
        <f>SUM(I300:I300)</f>
        <v>0</v>
      </c>
      <c r="J301" s="236">
        <f>H301+I301</f>
        <v>0</v>
      </c>
      <c r="K301" s="236"/>
      <c r="L301" s="236"/>
      <c r="M301" s="80"/>
      <c r="N301" s="183"/>
      <c r="O301" s="183"/>
      <c r="P301" s="248"/>
      <c r="Q301" s="154"/>
      <c r="R301" s="280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 spans="1:18">
      <c r="A302" s="239"/>
      <c r="B302" s="240"/>
      <c r="C302" s="241"/>
      <c r="D302" s="249"/>
      <c r="E302" s="249"/>
      <c r="F302" s="250"/>
      <c r="G302" s="250"/>
      <c r="H302" s="250"/>
      <c r="I302" s="250"/>
      <c r="J302" s="250"/>
      <c r="K302" s="250"/>
      <c r="L302" s="250"/>
      <c r="M302" s="250"/>
      <c r="N302" s="241"/>
      <c r="O302" s="241"/>
      <c r="P302" s="268"/>
      <c r="Q302" s="278"/>
      <c r="R302" s="279"/>
    </row>
    <row r="303" s="36" customFormat="1" ht="27.6" spans="1:28">
      <c r="A303" s="61">
        <v>5</v>
      </c>
      <c r="B303" s="251" t="s">
        <v>591</v>
      </c>
      <c r="C303" s="92"/>
      <c r="D303" s="252"/>
      <c r="E303" s="252"/>
      <c r="F303" s="253"/>
      <c r="G303" s="253"/>
      <c r="H303" s="253"/>
      <c r="I303" s="253"/>
      <c r="J303" s="94"/>
      <c r="K303" s="253"/>
      <c r="L303" s="253"/>
      <c r="M303" s="253"/>
      <c r="N303" s="92"/>
      <c r="O303" s="92"/>
      <c r="P303" s="272"/>
      <c r="Q303" s="276"/>
      <c r="R303" s="281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 spans="1:18">
      <c r="A304" s="66" t="s">
        <v>39</v>
      </c>
      <c r="B304" s="237" t="s">
        <v>592</v>
      </c>
      <c r="C304" s="68" t="s">
        <v>30</v>
      </c>
      <c r="D304" s="249"/>
      <c r="E304" s="249"/>
      <c r="F304" s="230"/>
      <c r="G304" s="230"/>
      <c r="H304" s="204">
        <f t="shared" ref="H304:I310" si="39">D304*F304</f>
        <v>0</v>
      </c>
      <c r="I304" s="270">
        <f>E304*G304</f>
        <v>0</v>
      </c>
      <c r="J304" s="96"/>
      <c r="K304" s="69"/>
      <c r="L304" s="230"/>
      <c r="M304" s="230"/>
      <c r="N304" s="68">
        <v>500002109</v>
      </c>
      <c r="O304" s="237" t="s">
        <v>593</v>
      </c>
      <c r="P304" s="273" t="s">
        <v>27</v>
      </c>
      <c r="Q304" s="155"/>
      <c r="R304" s="279"/>
    </row>
    <row r="305" s="37" customFormat="1" spans="1:28">
      <c r="A305" s="165" t="s">
        <v>594</v>
      </c>
      <c r="B305" s="166"/>
      <c r="C305" s="166"/>
      <c r="D305" s="248"/>
      <c r="E305" s="248"/>
      <c r="F305" s="248"/>
      <c r="G305" s="248"/>
      <c r="H305" s="248">
        <f>H304</f>
        <v>0</v>
      </c>
      <c r="I305" s="248">
        <f>I304</f>
        <v>0</v>
      </c>
      <c r="J305" s="236">
        <f>H305+I305</f>
        <v>0</v>
      </c>
      <c r="K305" s="248"/>
      <c r="L305" s="248"/>
      <c r="M305" s="248"/>
      <c r="N305" s="183"/>
      <c r="O305" s="183"/>
      <c r="P305" s="248"/>
      <c r="Q305" s="154"/>
      <c r="R305" s="280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 spans="1:18">
      <c r="A306" s="56"/>
      <c r="B306" s="201"/>
      <c r="C306" s="202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17"/>
      <c r="O306" s="217"/>
      <c r="P306" s="218"/>
      <c r="Q306" s="156"/>
      <c r="R306" s="157"/>
    </row>
    <row r="307" s="36" customFormat="1" spans="1:28">
      <c r="A307" s="61">
        <v>6</v>
      </c>
      <c r="B307" s="254" t="s">
        <v>595</v>
      </c>
      <c r="C307" s="63"/>
      <c r="D307" s="255"/>
      <c r="E307" s="255"/>
      <c r="F307" s="229"/>
      <c r="G307" s="229"/>
      <c r="H307" s="229"/>
      <c r="I307" s="229"/>
      <c r="J307" s="65"/>
      <c r="K307" s="229"/>
      <c r="L307" s="229"/>
      <c r="M307" s="229"/>
      <c r="N307" s="63"/>
      <c r="O307" s="63"/>
      <c r="P307" s="229"/>
      <c r="Q307" s="276"/>
      <c r="R307" s="281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 spans="1:18">
      <c r="A308" s="66" t="s">
        <v>39</v>
      </c>
      <c r="B308" s="237" t="s">
        <v>596</v>
      </c>
      <c r="C308" s="68" t="s">
        <v>123</v>
      </c>
      <c r="D308" s="256"/>
      <c r="E308" s="256"/>
      <c r="F308" s="230"/>
      <c r="G308" s="230"/>
      <c r="H308" s="204">
        <f t="shared" si="39"/>
        <v>0</v>
      </c>
      <c r="I308" s="270">
        <f t="shared" si="39"/>
        <v>0</v>
      </c>
      <c r="J308" s="96"/>
      <c r="K308" s="230"/>
      <c r="L308" s="230"/>
      <c r="M308" s="230"/>
      <c r="N308" s="68">
        <v>500001046</v>
      </c>
      <c r="O308" s="237" t="s">
        <v>597</v>
      </c>
      <c r="P308" s="96" t="s">
        <v>27</v>
      </c>
      <c r="Q308" s="155"/>
      <c r="R308" s="279"/>
    </row>
    <row r="309" spans="1:18">
      <c r="A309" s="66" t="s">
        <v>96</v>
      </c>
      <c r="B309" s="237" t="s">
        <v>598</v>
      </c>
      <c r="C309" s="68" t="s">
        <v>123</v>
      </c>
      <c r="D309" s="256"/>
      <c r="E309" s="256"/>
      <c r="F309" s="230"/>
      <c r="G309" s="230"/>
      <c r="H309" s="204">
        <f t="shared" si="39"/>
        <v>0</v>
      </c>
      <c r="I309" s="270">
        <f t="shared" si="39"/>
        <v>0</v>
      </c>
      <c r="J309" s="96"/>
      <c r="K309" s="230"/>
      <c r="L309" s="230"/>
      <c r="M309" s="230"/>
      <c r="N309" s="68">
        <v>500001047</v>
      </c>
      <c r="O309" s="237" t="s">
        <v>599</v>
      </c>
      <c r="P309" s="96" t="s">
        <v>27</v>
      </c>
      <c r="Q309" s="155"/>
      <c r="R309" s="279"/>
    </row>
    <row r="310" spans="1:18">
      <c r="A310" s="66" t="s">
        <v>127</v>
      </c>
      <c r="B310" s="237" t="s">
        <v>600</v>
      </c>
      <c r="C310" s="68" t="s">
        <v>123</v>
      </c>
      <c r="D310" s="256"/>
      <c r="E310" s="256"/>
      <c r="F310" s="230"/>
      <c r="G310" s="230"/>
      <c r="H310" s="204">
        <f t="shared" si="39"/>
        <v>0</v>
      </c>
      <c r="I310" s="270">
        <f t="shared" si="39"/>
        <v>0</v>
      </c>
      <c r="J310" s="96"/>
      <c r="K310" s="230"/>
      <c r="L310" s="230"/>
      <c r="M310" s="230"/>
      <c r="N310" s="135" t="s">
        <v>725</v>
      </c>
      <c r="O310" s="237" t="s">
        <v>601</v>
      </c>
      <c r="P310" s="96" t="s">
        <v>27</v>
      </c>
      <c r="Q310" s="155"/>
      <c r="R310" s="279"/>
    </row>
    <row r="311" s="37" customFormat="1" spans="1:28">
      <c r="A311" s="165" t="s">
        <v>602</v>
      </c>
      <c r="B311" s="166"/>
      <c r="C311" s="166"/>
      <c r="D311" s="248"/>
      <c r="E311" s="248"/>
      <c r="F311" s="248"/>
      <c r="G311" s="248"/>
      <c r="H311" s="248">
        <f>SUM(H308:H310)</f>
        <v>0</v>
      </c>
      <c r="I311" s="248">
        <f>SUM(I308:I310)</f>
        <v>0</v>
      </c>
      <c r="J311" s="236">
        <f>H311+I311</f>
        <v>0</v>
      </c>
      <c r="K311" s="248"/>
      <c r="L311" s="248"/>
      <c r="M311" s="248"/>
      <c r="N311" s="183"/>
      <c r="O311" s="183"/>
      <c r="P311" s="248"/>
      <c r="Q311" s="154"/>
      <c r="R311" s="280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 spans="1:18">
      <c r="A312" s="56"/>
      <c r="B312" s="201"/>
      <c r="C312" s="202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17"/>
      <c r="O312" s="217"/>
      <c r="P312" s="218"/>
      <c r="Q312" s="156"/>
      <c r="R312" s="157"/>
    </row>
    <row r="313" s="36" customFormat="1" spans="1:28">
      <c r="A313" s="61">
        <v>7</v>
      </c>
      <c r="B313" s="254" t="s">
        <v>603</v>
      </c>
      <c r="C313" s="63"/>
      <c r="D313" s="255"/>
      <c r="E313" s="255"/>
      <c r="F313" s="229"/>
      <c r="G313" s="229"/>
      <c r="H313" s="229"/>
      <c r="I313" s="229"/>
      <c r="J313" s="65"/>
      <c r="K313" s="229"/>
      <c r="L313" s="229"/>
      <c r="M313" s="229"/>
      <c r="N313" s="63"/>
      <c r="O313" s="63"/>
      <c r="P313" s="229"/>
      <c r="Q313" s="276"/>
      <c r="R313" s="281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 spans="1:18">
      <c r="A314" s="66" t="s">
        <v>39</v>
      </c>
      <c r="B314" s="237" t="s">
        <v>604</v>
      </c>
      <c r="C314" s="68" t="s">
        <v>605</v>
      </c>
      <c r="D314" s="257"/>
      <c r="E314" s="256"/>
      <c r="F314" s="230"/>
      <c r="G314" s="230"/>
      <c r="H314" s="204">
        <f t="shared" ref="H314:I320" si="40">D314*F314</f>
        <v>0</v>
      </c>
      <c r="I314" s="270">
        <f t="shared" si="40"/>
        <v>0</v>
      </c>
      <c r="J314" s="96"/>
      <c r="K314" s="230"/>
      <c r="L314" s="230"/>
      <c r="M314" s="230"/>
      <c r="N314" s="135" t="s">
        <v>726</v>
      </c>
      <c r="O314" s="136" t="s">
        <v>606</v>
      </c>
      <c r="P314" s="96" t="s">
        <v>27</v>
      </c>
      <c r="Q314" s="155"/>
      <c r="R314" s="279"/>
    </row>
    <row r="315" spans="1:18">
      <c r="A315" s="66" t="s">
        <v>96</v>
      </c>
      <c r="B315" s="237" t="s">
        <v>607</v>
      </c>
      <c r="C315" s="68" t="s">
        <v>605</v>
      </c>
      <c r="D315" s="256"/>
      <c r="E315" s="256"/>
      <c r="F315" s="230"/>
      <c r="G315" s="230"/>
      <c r="H315" s="204">
        <f t="shared" si="40"/>
        <v>0</v>
      </c>
      <c r="I315" s="270">
        <f t="shared" si="40"/>
        <v>0</v>
      </c>
      <c r="J315" s="96"/>
      <c r="K315" s="230"/>
      <c r="L315" s="230"/>
      <c r="M315" s="230"/>
      <c r="N315" s="135" t="s">
        <v>727</v>
      </c>
      <c r="O315" s="136" t="s">
        <v>608</v>
      </c>
      <c r="P315" s="96" t="s">
        <v>27</v>
      </c>
      <c r="Q315" s="155"/>
      <c r="R315" s="279"/>
    </row>
    <row r="316" s="37" customFormat="1" spans="1:28">
      <c r="A316" s="165" t="s">
        <v>609</v>
      </c>
      <c r="B316" s="166"/>
      <c r="C316" s="166"/>
      <c r="D316" s="248"/>
      <c r="E316" s="248"/>
      <c r="F316" s="248"/>
      <c r="G316" s="248"/>
      <c r="H316" s="248">
        <f>SUM(H314:H315)</f>
        <v>0</v>
      </c>
      <c r="I316" s="248">
        <f>SUM(I314:I315)</f>
        <v>0</v>
      </c>
      <c r="J316" s="236">
        <f>H316+I316</f>
        <v>0</v>
      </c>
      <c r="K316" s="248"/>
      <c r="L316" s="248"/>
      <c r="M316" s="248"/>
      <c r="N316" s="183"/>
      <c r="O316" s="183"/>
      <c r="P316" s="248"/>
      <c r="Q316" s="154"/>
      <c r="R316" s="280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 s="38" customFormat="1" spans="1:18">
      <c r="A317" s="258"/>
      <c r="B317" s="259"/>
      <c r="C317" s="259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74"/>
      <c r="O317" s="275"/>
      <c r="P317" s="260"/>
      <c r="Q317" s="282"/>
      <c r="R317" s="283"/>
    </row>
    <row r="318" s="36" customFormat="1" spans="1:28">
      <c r="A318" s="61">
        <v>8</v>
      </c>
      <c r="B318" s="254" t="s">
        <v>610</v>
      </c>
      <c r="C318" s="63"/>
      <c r="D318" s="261"/>
      <c r="E318" s="261"/>
      <c r="F318" s="63"/>
      <c r="G318" s="63"/>
      <c r="H318" s="63"/>
      <c r="I318" s="63"/>
      <c r="J318" s="122"/>
      <c r="K318" s="63"/>
      <c r="L318" s="63"/>
      <c r="M318" s="63"/>
      <c r="N318" s="63"/>
      <c r="O318" s="61"/>
      <c r="P318" s="63"/>
      <c r="Q318" s="284"/>
      <c r="R318" s="280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 spans="1:18">
      <c r="A319" s="262" t="s">
        <v>39</v>
      </c>
      <c r="B319" s="104" t="s">
        <v>611</v>
      </c>
      <c r="C319" s="262" t="s">
        <v>612</v>
      </c>
      <c r="D319" s="263"/>
      <c r="E319" s="263"/>
      <c r="F319" s="263"/>
      <c r="G319" s="263"/>
      <c r="H319" s="204">
        <f t="shared" si="40"/>
        <v>0</v>
      </c>
      <c r="I319" s="270">
        <f t="shared" si="40"/>
        <v>0</v>
      </c>
      <c r="J319" s="263"/>
      <c r="K319" s="263"/>
      <c r="L319" s="263"/>
      <c r="M319" s="263"/>
      <c r="N319" s="135" t="s">
        <v>728</v>
      </c>
      <c r="O319" s="136" t="s">
        <v>613</v>
      </c>
      <c r="P319" s="96" t="s">
        <v>27</v>
      </c>
      <c r="Q319" s="155"/>
      <c r="R319" s="285"/>
    </row>
    <row r="320" spans="1:18">
      <c r="A320" s="66" t="s">
        <v>96</v>
      </c>
      <c r="B320" s="125" t="s">
        <v>614</v>
      </c>
      <c r="C320" s="66" t="s">
        <v>615</v>
      </c>
      <c r="D320" s="263"/>
      <c r="E320" s="263"/>
      <c r="F320" s="263"/>
      <c r="G320" s="263"/>
      <c r="H320" s="204">
        <f t="shared" si="40"/>
        <v>0</v>
      </c>
      <c r="I320" s="270">
        <f t="shared" si="40"/>
        <v>0</v>
      </c>
      <c r="J320" s="263"/>
      <c r="K320" s="263"/>
      <c r="L320" s="263"/>
      <c r="M320" s="263"/>
      <c r="N320" s="135" t="s">
        <v>729</v>
      </c>
      <c r="O320" s="136" t="s">
        <v>616</v>
      </c>
      <c r="P320" s="96" t="s">
        <v>27</v>
      </c>
      <c r="Q320" s="286"/>
      <c r="R320" s="287"/>
    </row>
    <row r="321" s="37" customFormat="1" spans="1:28">
      <c r="A321" s="165" t="s">
        <v>617</v>
      </c>
      <c r="B321" s="166"/>
      <c r="C321" s="166"/>
      <c r="D321" s="248"/>
      <c r="E321" s="248"/>
      <c r="F321" s="248"/>
      <c r="G321" s="248"/>
      <c r="H321" s="248">
        <f>SUM(H319:H320)</f>
        <v>0</v>
      </c>
      <c r="I321" s="248">
        <f>SUM(I319:I320)</f>
        <v>0</v>
      </c>
      <c r="J321" s="236">
        <f>H321+I321</f>
        <v>0</v>
      </c>
      <c r="K321" s="248"/>
      <c r="L321" s="248"/>
      <c r="M321" s="248"/>
      <c r="N321" s="183"/>
      <c r="O321" s="183"/>
      <c r="P321" s="248"/>
      <c r="Q321" s="154"/>
      <c r="R321" s="280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 spans="1:18">
      <c r="A322" s="167"/>
      <c r="B322" s="202"/>
      <c r="C322" s="202"/>
      <c r="D322" s="288"/>
      <c r="E322" s="288"/>
      <c r="F322" s="242"/>
      <c r="G322" s="242"/>
      <c r="H322" s="242"/>
      <c r="I322" s="242"/>
      <c r="J322" s="242"/>
      <c r="K322" s="242"/>
      <c r="L322" s="242"/>
      <c r="M322" s="242"/>
      <c r="N322" s="185"/>
      <c r="O322" s="185"/>
      <c r="P322" s="301"/>
      <c r="Q322" s="278"/>
      <c r="R322" s="279"/>
    </row>
    <row r="323" spans="1:18">
      <c r="A323" s="289" t="s">
        <v>618</v>
      </c>
      <c r="B323" s="290"/>
      <c r="C323" s="291"/>
      <c r="D323" s="87"/>
      <c r="E323" s="87"/>
      <c r="F323" s="87"/>
      <c r="G323" s="87"/>
      <c r="H323" s="292" t="e">
        <f>H10+H105+H206+H242+H281+H288+H293+H297+H301+H305+H311+H316+H321</f>
        <v>#REF!</v>
      </c>
      <c r="I323" s="292">
        <f>I10+I105+I206+I242+I281+I288+I293+I297+I301+I305+I311+I316+I321</f>
        <v>0</v>
      </c>
      <c r="J323" s="292"/>
      <c r="K323" s="292"/>
      <c r="L323" s="292"/>
      <c r="M323" s="87"/>
      <c r="N323" s="56"/>
      <c r="O323" s="56"/>
      <c r="P323" s="87"/>
      <c r="Q323" s="156"/>
      <c r="R323" s="157"/>
    </row>
    <row r="324" spans="1:18">
      <c r="A324" s="289" t="s">
        <v>619</v>
      </c>
      <c r="B324" s="293"/>
      <c r="C324" s="291"/>
      <c r="D324" s="256"/>
      <c r="E324" s="256"/>
      <c r="F324" s="230"/>
      <c r="G324" s="230"/>
      <c r="H324" s="294" t="e">
        <f>H323+I323</f>
        <v>#REF!</v>
      </c>
      <c r="I324" s="230"/>
      <c r="J324" s="96"/>
      <c r="K324" s="230"/>
      <c r="L324" s="230"/>
      <c r="M324" s="230"/>
      <c r="N324" s="291"/>
      <c r="O324" s="291"/>
      <c r="P324" s="230"/>
      <c r="Q324" s="276"/>
      <c r="R324" s="147"/>
    </row>
    <row r="325" spans="1:18">
      <c r="A325" s="201" t="s">
        <v>620</v>
      </c>
      <c r="B325" s="293"/>
      <c r="C325" s="291"/>
      <c r="D325" s="256"/>
      <c r="E325" s="256"/>
      <c r="F325" s="230"/>
      <c r="G325" s="230"/>
      <c r="H325" s="295" t="e">
        <f>H324/O5</f>
        <v>#REF!</v>
      </c>
      <c r="I325" s="230"/>
      <c r="J325" s="96"/>
      <c r="K325" s="230"/>
      <c r="L325" s="230"/>
      <c r="M325" s="230"/>
      <c r="N325" s="291"/>
      <c r="O325" s="291"/>
      <c r="P325" s="230"/>
      <c r="Q325" s="276"/>
      <c r="R325" s="147"/>
    </row>
    <row r="326" spans="1:18">
      <c r="A326" s="201" t="s">
        <v>621</v>
      </c>
      <c r="B326" s="293"/>
      <c r="C326" s="291"/>
      <c r="D326" s="256"/>
      <c r="E326" s="256"/>
      <c r="F326" s="230"/>
      <c r="G326" s="230"/>
      <c r="H326" s="296" t="e">
        <f>H325/14000</f>
        <v>#REF!</v>
      </c>
      <c r="I326" s="230"/>
      <c r="J326" s="96"/>
      <c r="K326" s="230"/>
      <c r="L326" s="230"/>
      <c r="M326" s="230"/>
      <c r="N326" s="291"/>
      <c r="O326" s="291"/>
      <c r="P326" s="230"/>
      <c r="Q326" s="276"/>
      <c r="R326" s="147"/>
    </row>
    <row r="328" spans="2:15">
      <c r="B328" s="297" t="s">
        <v>730</v>
      </c>
      <c r="N328" s="302" t="s">
        <v>623</v>
      </c>
      <c r="O328" s="303"/>
    </row>
    <row r="329" spans="2:2">
      <c r="B329" s="298"/>
    </row>
    <row r="330" spans="2:14">
      <c r="B330" s="299" t="s">
        <v>624</v>
      </c>
      <c r="N330" s="40" t="s">
        <v>625</v>
      </c>
    </row>
    <row r="331" spans="2:14">
      <c r="B331" s="299" t="s">
        <v>626</v>
      </c>
      <c r="N331" s="40" t="s">
        <v>731</v>
      </c>
    </row>
    <row r="332" spans="2:14">
      <c r="B332" s="299" t="s">
        <v>627</v>
      </c>
      <c r="N332" s="40" t="s">
        <v>732</v>
      </c>
    </row>
    <row r="333" spans="2:14">
      <c r="B333" s="299" t="s">
        <v>629</v>
      </c>
      <c r="N333" s="40" t="s">
        <v>629</v>
      </c>
    </row>
    <row r="334" spans="1:28">
      <c r="A334" s="40"/>
      <c r="B334" s="39"/>
      <c r="D334" s="40"/>
      <c r="E334" s="40"/>
      <c r="J334" s="40"/>
      <c r="K334" s="40"/>
      <c r="L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spans="1:28">
      <c r="A335" s="40"/>
      <c r="B335" s="39"/>
      <c r="D335" s="40"/>
      <c r="E335" s="40"/>
      <c r="J335" s="40"/>
      <c r="K335" s="40"/>
      <c r="L335" s="40"/>
      <c r="N335" s="40" t="s">
        <v>733</v>
      </c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spans="2:2">
      <c r="B336" s="39"/>
    </row>
    <row r="337" ht="13.5" customHeight="1" spans="2:2">
      <c r="B337" s="39"/>
    </row>
    <row r="338" spans="2:2">
      <c r="B338" s="299" t="s">
        <v>734</v>
      </c>
    </row>
    <row r="339" spans="2:2">
      <c r="B339" s="300"/>
    </row>
  </sheetData>
  <mergeCells count="1">
    <mergeCell ref="B334:B337"/>
  </mergeCells>
  <conditionalFormatting sqref="N84">
    <cfRule type="duplicateValues" dxfId="0" priority="19"/>
  </conditionalFormatting>
  <conditionalFormatting sqref="N93">
    <cfRule type="duplicateValues" dxfId="0" priority="5"/>
  </conditionalFormatting>
  <conditionalFormatting sqref="M204">
    <cfRule type="duplicateValues" dxfId="0" priority="15"/>
  </conditionalFormatting>
  <conditionalFormatting sqref="N218">
    <cfRule type="duplicateValues" dxfId="0" priority="17"/>
  </conditionalFormatting>
  <conditionalFormatting sqref="M218:M220">
    <cfRule type="duplicateValues" dxfId="0" priority="18"/>
  </conditionalFormatting>
  <conditionalFormatting sqref="N8:N9">
    <cfRule type="duplicateValues" dxfId="0" priority="4"/>
  </conditionalFormatting>
  <conditionalFormatting sqref="N54:N55">
    <cfRule type="duplicateValues" dxfId="0" priority="3"/>
  </conditionalFormatting>
  <conditionalFormatting sqref="N68:N73">
    <cfRule type="duplicateValues" dxfId="0" priority="2"/>
  </conditionalFormatting>
  <conditionalFormatting sqref="N83:N84">
    <cfRule type="duplicateValues" dxfId="0" priority="22"/>
  </conditionalFormatting>
  <conditionalFormatting sqref="N85:N89">
    <cfRule type="duplicateValues" dxfId="0" priority="9"/>
  </conditionalFormatting>
  <conditionalFormatting sqref="N119:N120">
    <cfRule type="duplicateValues" dxfId="0" priority="7"/>
  </conditionalFormatting>
  <conditionalFormatting sqref="N121:N132">
    <cfRule type="duplicateValues" dxfId="0" priority="6"/>
  </conditionalFormatting>
  <conditionalFormatting sqref="N215:N216">
    <cfRule type="duplicateValues" dxfId="0" priority="16"/>
  </conditionalFormatting>
  <conditionalFormatting sqref="N219:N220">
    <cfRule type="duplicateValues" dxfId="0" priority="1"/>
  </conditionalFormatting>
  <conditionalFormatting sqref="N240:N241">
    <cfRule type="duplicateValues" dxfId="0" priority="8"/>
  </conditionalFormatting>
  <conditionalFormatting sqref="N10:N11 N140 N94:N118 N90:N92 N211:N213 N142:N143 N160:N209 N133:N134 N136 N145:N158 N138 N13:N28 N221 N223:N239 N65:N67 N242:N320 N41:N53 N56:N63 N74:N84">
    <cfRule type="duplicateValues" dxfId="0" priority="24"/>
  </conditionalFormatting>
  <pageMargins left="0.7" right="0.7" top="0.75" bottom="0.75" header="0.3" footer="0.3"/>
  <pageSetup paperSize="9" scale="3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V134"/>
  <sheetViews>
    <sheetView showGridLines="0" topLeftCell="M1" workbookViewId="0">
      <selection activeCell="T3" sqref="T3"/>
    </sheetView>
  </sheetViews>
  <sheetFormatPr defaultColWidth="9" defaultRowHeight="14.4"/>
  <cols>
    <col min="1" max="1" width="43.4444444444444" hidden="1" customWidth="1"/>
    <col min="2" max="2" width="49.5555555555556" hidden="1" customWidth="1"/>
    <col min="3" max="6" width="9" hidden="1" customWidth="1"/>
    <col min="7" max="9" width="10.3333333333333" hidden="1" customWidth="1"/>
    <col min="10" max="10" width="71.5555555555556" hidden="1" customWidth="1"/>
    <col min="11" max="12" width="9" hidden="1" customWidth="1"/>
    <col min="13" max="13" width="50" customWidth="1"/>
    <col min="14" max="14" width="48.5555555555556" customWidth="1"/>
    <col min="15" max="21" width="9" customWidth="1"/>
    <col min="22" max="22" width="47.1111111111111" customWidth="1"/>
  </cols>
  <sheetData>
    <row r="1" spans="1:22">
      <c r="A1" s="1" t="s">
        <v>735</v>
      </c>
      <c r="B1" s="2">
        <f>'BoQ NRO Cluster'!O3</f>
        <v>0</v>
      </c>
      <c r="C1" s="3" t="s">
        <v>736</v>
      </c>
      <c r="D1" s="3" t="s">
        <v>737</v>
      </c>
      <c r="E1" s="3" t="s">
        <v>738</v>
      </c>
      <c r="F1" s="3" t="s">
        <v>739</v>
      </c>
      <c r="G1" s="3" t="s">
        <v>740</v>
      </c>
      <c r="H1" s="3" t="s">
        <v>741</v>
      </c>
      <c r="I1" s="3" t="s">
        <v>15</v>
      </c>
      <c r="J1" s="3" t="s">
        <v>26</v>
      </c>
      <c r="M1" s="1" t="s">
        <v>742</v>
      </c>
      <c r="N1" s="2">
        <f>B1</f>
        <v>0</v>
      </c>
      <c r="O1" s="3" t="s">
        <v>736</v>
      </c>
      <c r="P1" s="3" t="s">
        <v>737</v>
      </c>
      <c r="Q1" s="3" t="s">
        <v>738</v>
      </c>
      <c r="R1" s="3" t="s">
        <v>739</v>
      </c>
      <c r="S1" s="3" t="s">
        <v>740</v>
      </c>
      <c r="T1" s="3" t="s">
        <v>741</v>
      </c>
      <c r="U1" s="3" t="s">
        <v>743</v>
      </c>
      <c r="V1" s="3" t="s">
        <v>26</v>
      </c>
    </row>
    <row r="2" spans="1:22">
      <c r="A2" s="4" t="s">
        <v>744</v>
      </c>
      <c r="B2" s="5" t="s">
        <v>745</v>
      </c>
      <c r="C2" s="6">
        <f>SUM(D2:H2)</f>
        <v>0</v>
      </c>
      <c r="D2" s="7">
        <v>0</v>
      </c>
      <c r="E2" s="7">
        <v>0</v>
      </c>
      <c r="F2" s="7">
        <v>0</v>
      </c>
      <c r="G2" s="7"/>
      <c r="H2" s="7"/>
      <c r="I2" s="5" t="s">
        <v>746</v>
      </c>
      <c r="J2" s="4" t="s">
        <v>747</v>
      </c>
      <c r="M2" s="4" t="s">
        <v>748</v>
      </c>
      <c r="N2" s="5" t="s">
        <v>749</v>
      </c>
      <c r="O2" s="25">
        <f t="shared" ref="O2:O9" si="0">SUM(P2:T2)</f>
        <v>0</v>
      </c>
      <c r="P2" s="8"/>
      <c r="Q2" s="8"/>
      <c r="R2" s="8"/>
      <c r="S2" s="8"/>
      <c r="T2" s="8"/>
      <c r="U2" s="5" t="s">
        <v>746</v>
      </c>
      <c r="V2" s="4" t="s">
        <v>747</v>
      </c>
    </row>
    <row r="3" spans="1:22">
      <c r="A3" s="4"/>
      <c r="B3" s="5" t="s">
        <v>750</v>
      </c>
      <c r="C3" s="6">
        <f t="shared" ref="C3:C16" si="1">SUM(D3:H3)</f>
        <v>0</v>
      </c>
      <c r="D3" s="7">
        <v>0</v>
      </c>
      <c r="E3" s="7"/>
      <c r="F3" s="7">
        <v>0</v>
      </c>
      <c r="G3" s="7"/>
      <c r="H3" s="7"/>
      <c r="I3" s="5" t="s">
        <v>746</v>
      </c>
      <c r="J3" s="4" t="s">
        <v>747</v>
      </c>
      <c r="M3" s="4"/>
      <c r="N3" s="5" t="s">
        <v>751</v>
      </c>
      <c r="O3" s="25">
        <f t="shared" si="0"/>
        <v>0</v>
      </c>
      <c r="P3" s="8"/>
      <c r="Q3" s="8"/>
      <c r="R3" s="8"/>
      <c r="S3" s="8"/>
      <c r="T3" s="8"/>
      <c r="U3" s="5" t="s">
        <v>746</v>
      </c>
      <c r="V3" s="4" t="s">
        <v>747</v>
      </c>
    </row>
    <row r="4" spans="1:22">
      <c r="A4" s="4"/>
      <c r="B4" s="5" t="s">
        <v>752</v>
      </c>
      <c r="C4" s="6">
        <f t="shared" si="1"/>
        <v>0</v>
      </c>
      <c r="D4" s="7"/>
      <c r="E4" s="7"/>
      <c r="F4" s="7"/>
      <c r="G4" s="7"/>
      <c r="H4" s="7"/>
      <c r="I4" s="5" t="s">
        <v>746</v>
      </c>
      <c r="J4" s="4" t="s">
        <v>747</v>
      </c>
      <c r="M4" s="4"/>
      <c r="N4" s="5" t="s">
        <v>753</v>
      </c>
      <c r="O4" s="25">
        <f t="shared" si="0"/>
        <v>0</v>
      </c>
      <c r="P4" s="8"/>
      <c r="Q4" s="8"/>
      <c r="R4" s="8"/>
      <c r="S4" s="8"/>
      <c r="T4" s="8"/>
      <c r="U4" s="5" t="s">
        <v>746</v>
      </c>
      <c r="V4" s="4" t="s">
        <v>747</v>
      </c>
    </row>
    <row r="5" spans="1:22">
      <c r="A5" s="4"/>
      <c r="B5" s="5" t="s">
        <v>754</v>
      </c>
      <c r="C5" s="6">
        <f t="shared" si="1"/>
        <v>0</v>
      </c>
      <c r="D5" s="7"/>
      <c r="E5" s="7"/>
      <c r="F5" s="7"/>
      <c r="G5" s="7"/>
      <c r="H5" s="7"/>
      <c r="I5" s="5" t="s">
        <v>746</v>
      </c>
      <c r="J5" s="4" t="s">
        <v>747</v>
      </c>
      <c r="M5" s="4"/>
      <c r="N5" s="5" t="s">
        <v>755</v>
      </c>
      <c r="O5" s="25">
        <f t="shared" si="0"/>
        <v>0</v>
      </c>
      <c r="P5" s="8"/>
      <c r="Q5" s="8"/>
      <c r="R5" s="8"/>
      <c r="S5" s="8"/>
      <c r="T5" s="8"/>
      <c r="U5" s="5" t="s">
        <v>746</v>
      </c>
      <c r="V5" s="4" t="s">
        <v>747</v>
      </c>
    </row>
    <row r="6" spans="1:22">
      <c r="A6" s="4"/>
      <c r="B6" s="5" t="s">
        <v>756</v>
      </c>
      <c r="C6" s="6">
        <f t="shared" si="1"/>
        <v>0</v>
      </c>
      <c r="D6" s="7">
        <v>0</v>
      </c>
      <c r="E6" s="7"/>
      <c r="F6" s="7"/>
      <c r="G6" s="7"/>
      <c r="H6" s="7"/>
      <c r="I6" s="5" t="s">
        <v>746</v>
      </c>
      <c r="J6" s="4" t="s">
        <v>747</v>
      </c>
      <c r="M6" s="4"/>
      <c r="N6" s="5" t="s">
        <v>757</v>
      </c>
      <c r="O6" s="25">
        <f t="shared" si="0"/>
        <v>0</v>
      </c>
      <c r="P6" s="8"/>
      <c r="Q6" s="8"/>
      <c r="R6" s="8"/>
      <c r="S6" s="8"/>
      <c r="T6" s="8"/>
      <c r="U6" s="5" t="s">
        <v>746</v>
      </c>
      <c r="V6" s="4" t="s">
        <v>747</v>
      </c>
    </row>
    <row r="7" spans="1:22">
      <c r="A7" s="4"/>
      <c r="B7" s="5" t="s">
        <v>758</v>
      </c>
      <c r="C7" s="6">
        <f t="shared" si="1"/>
        <v>0</v>
      </c>
      <c r="D7" s="7">
        <v>0</v>
      </c>
      <c r="E7" s="7"/>
      <c r="F7" s="7"/>
      <c r="G7" s="7"/>
      <c r="H7" s="7"/>
      <c r="I7" s="5" t="s">
        <v>746</v>
      </c>
      <c r="J7" s="4" t="s">
        <v>747</v>
      </c>
      <c r="M7" s="4"/>
      <c r="N7" s="5" t="s">
        <v>759</v>
      </c>
      <c r="O7" s="25">
        <f t="shared" si="0"/>
        <v>0</v>
      </c>
      <c r="P7" s="8"/>
      <c r="Q7" s="8"/>
      <c r="R7" s="8"/>
      <c r="S7" s="8"/>
      <c r="T7" s="8"/>
      <c r="U7" s="5" t="s">
        <v>746</v>
      </c>
      <c r="V7" s="4" t="s">
        <v>760</v>
      </c>
    </row>
    <row r="8" spans="1:22">
      <c r="A8" s="4"/>
      <c r="B8" s="5" t="s">
        <v>761</v>
      </c>
      <c r="C8" s="6">
        <f t="shared" si="1"/>
        <v>0</v>
      </c>
      <c r="D8" s="8"/>
      <c r="E8" s="8"/>
      <c r="F8" s="8"/>
      <c r="G8" s="8"/>
      <c r="H8" s="8"/>
      <c r="I8" s="5" t="s">
        <v>746</v>
      </c>
      <c r="J8" s="4" t="s">
        <v>747</v>
      </c>
      <c r="M8" s="4"/>
      <c r="N8" s="5" t="s">
        <v>762</v>
      </c>
      <c r="O8" s="25">
        <f t="shared" si="0"/>
        <v>0</v>
      </c>
      <c r="P8" s="8"/>
      <c r="Q8" s="8"/>
      <c r="R8" s="8"/>
      <c r="S8" s="8"/>
      <c r="T8" s="8"/>
      <c r="U8" s="5" t="s">
        <v>746</v>
      </c>
      <c r="V8" s="4" t="s">
        <v>760</v>
      </c>
    </row>
    <row r="9" spans="1:22">
      <c r="A9" s="4"/>
      <c r="B9" s="5" t="s">
        <v>763</v>
      </c>
      <c r="C9" s="6">
        <f t="shared" si="1"/>
        <v>0</v>
      </c>
      <c r="D9" s="8"/>
      <c r="E9" s="8"/>
      <c r="F9" s="8"/>
      <c r="G9" s="8"/>
      <c r="H9" s="8"/>
      <c r="I9" s="5" t="s">
        <v>746</v>
      </c>
      <c r="J9" s="4" t="s">
        <v>747</v>
      </c>
      <c r="M9" s="4" t="s">
        <v>764</v>
      </c>
      <c r="N9" s="4" t="str">
        <f>N2</f>
        <v>24C/2T</v>
      </c>
      <c r="O9" s="26">
        <f t="shared" si="0"/>
        <v>0</v>
      </c>
      <c r="P9" s="13">
        <f t="shared" ref="P9:P15" si="2">ROUNDUP(((P2)+(P16*20))*1.05,0)</f>
        <v>0</v>
      </c>
      <c r="Q9" s="13">
        <f t="shared" ref="Q9:Q15" si="3">ROUNDUP(((Q2)+(Q16*20))*1.05,0)</f>
        <v>0</v>
      </c>
      <c r="R9" s="13">
        <f t="shared" ref="R9:R15" si="4">ROUNDUP(((R2)+(R16*20))*1.05,0)</f>
        <v>0</v>
      </c>
      <c r="S9" s="13">
        <f t="shared" ref="S9:S15" si="5">ROUNDUP(((S2)+(S16*20))*1.05,0)</f>
        <v>0</v>
      </c>
      <c r="T9" s="13">
        <f t="shared" ref="T9:T15" si="6">ROUNDUP(((T2)+(T16*20))*1.05,0)</f>
        <v>0</v>
      </c>
      <c r="U9" s="4" t="s">
        <v>746</v>
      </c>
      <c r="V9" s="4" t="s">
        <v>760</v>
      </c>
    </row>
    <row r="10" spans="1:22">
      <c r="A10" s="4"/>
      <c r="B10" s="5" t="s">
        <v>765</v>
      </c>
      <c r="C10" s="6">
        <f t="shared" si="1"/>
        <v>0</v>
      </c>
      <c r="D10" s="8"/>
      <c r="E10" s="8"/>
      <c r="F10" s="8"/>
      <c r="G10" s="8"/>
      <c r="H10" s="8"/>
      <c r="I10" s="5" t="s">
        <v>746</v>
      </c>
      <c r="J10" s="4" t="s">
        <v>747</v>
      </c>
      <c r="M10" s="4"/>
      <c r="N10" s="4" t="str">
        <f>N3</f>
        <v>36C/3T</v>
      </c>
      <c r="O10" s="26">
        <f t="shared" ref="O10:O22" si="7">SUM(P10:T10)</f>
        <v>0</v>
      </c>
      <c r="P10" s="13">
        <f t="shared" si="2"/>
        <v>0</v>
      </c>
      <c r="Q10" s="13">
        <f t="shared" si="3"/>
        <v>0</v>
      </c>
      <c r="R10" s="13">
        <f t="shared" si="4"/>
        <v>0</v>
      </c>
      <c r="S10" s="13">
        <f t="shared" si="5"/>
        <v>0</v>
      </c>
      <c r="T10" s="13">
        <f t="shared" si="6"/>
        <v>0</v>
      </c>
      <c r="U10" s="4" t="s">
        <v>746</v>
      </c>
      <c r="V10" s="4" t="s">
        <v>760</v>
      </c>
    </row>
    <row r="11" spans="1:22">
      <c r="A11" s="4"/>
      <c r="B11" s="5" t="s">
        <v>766</v>
      </c>
      <c r="C11" s="6">
        <f t="shared" si="1"/>
        <v>0</v>
      </c>
      <c r="D11" s="8"/>
      <c r="E11" s="7"/>
      <c r="F11" s="7"/>
      <c r="G11" s="7"/>
      <c r="H11" s="7"/>
      <c r="I11" s="5" t="s">
        <v>746</v>
      </c>
      <c r="J11" s="4" t="s">
        <v>747</v>
      </c>
      <c r="M11" s="4"/>
      <c r="N11" s="4" t="str">
        <f>N4</f>
        <v>48C/4T</v>
      </c>
      <c r="O11" s="26">
        <f t="shared" si="7"/>
        <v>0</v>
      </c>
      <c r="P11" s="13">
        <f t="shared" si="2"/>
        <v>0</v>
      </c>
      <c r="Q11" s="13">
        <f t="shared" si="3"/>
        <v>0</v>
      </c>
      <c r="R11" s="13">
        <f t="shared" si="4"/>
        <v>0</v>
      </c>
      <c r="S11" s="13">
        <f t="shared" si="5"/>
        <v>0</v>
      </c>
      <c r="T11" s="13">
        <f t="shared" si="6"/>
        <v>0</v>
      </c>
      <c r="U11" s="4" t="s">
        <v>746</v>
      </c>
      <c r="V11" s="4" t="s">
        <v>760</v>
      </c>
    </row>
    <row r="12" spans="1:22">
      <c r="A12" s="4"/>
      <c r="B12" s="5" t="s">
        <v>767</v>
      </c>
      <c r="C12" s="6">
        <f t="shared" si="1"/>
        <v>0</v>
      </c>
      <c r="D12" s="8"/>
      <c r="E12" s="8"/>
      <c r="F12" s="8"/>
      <c r="G12" s="8"/>
      <c r="H12" s="8"/>
      <c r="I12" s="5" t="s">
        <v>746</v>
      </c>
      <c r="J12" s="4" t="s">
        <v>747</v>
      </c>
      <c r="M12" s="4"/>
      <c r="N12" s="4" t="s">
        <v>755</v>
      </c>
      <c r="O12" s="26">
        <f t="shared" si="7"/>
        <v>0</v>
      </c>
      <c r="P12" s="13">
        <f t="shared" si="2"/>
        <v>0</v>
      </c>
      <c r="Q12" s="13">
        <f t="shared" si="3"/>
        <v>0</v>
      </c>
      <c r="R12" s="13">
        <f t="shared" si="4"/>
        <v>0</v>
      </c>
      <c r="S12" s="13">
        <f t="shared" si="5"/>
        <v>0</v>
      </c>
      <c r="T12" s="13">
        <f t="shared" si="6"/>
        <v>0</v>
      </c>
      <c r="U12" s="4" t="s">
        <v>746</v>
      </c>
      <c r="V12" s="4" t="s">
        <v>760</v>
      </c>
    </row>
    <row r="13" spans="1:22">
      <c r="A13" s="4"/>
      <c r="B13" s="5" t="s">
        <v>768</v>
      </c>
      <c r="C13" s="6">
        <f t="shared" si="1"/>
        <v>0</v>
      </c>
      <c r="D13" s="8"/>
      <c r="E13" s="8"/>
      <c r="F13" s="8"/>
      <c r="G13" s="8"/>
      <c r="H13" s="8"/>
      <c r="I13" s="5" t="s">
        <v>746</v>
      </c>
      <c r="J13" s="4" t="s">
        <v>747</v>
      </c>
      <c r="M13" s="4"/>
      <c r="N13" s="4" t="s">
        <v>757</v>
      </c>
      <c r="O13" s="26">
        <f t="shared" si="7"/>
        <v>0</v>
      </c>
      <c r="P13" s="13">
        <f t="shared" si="2"/>
        <v>0</v>
      </c>
      <c r="Q13" s="13">
        <f t="shared" si="3"/>
        <v>0</v>
      </c>
      <c r="R13" s="13">
        <f t="shared" si="4"/>
        <v>0</v>
      </c>
      <c r="S13" s="13">
        <f t="shared" si="5"/>
        <v>0</v>
      </c>
      <c r="T13" s="13">
        <f t="shared" si="6"/>
        <v>0</v>
      </c>
      <c r="U13" s="4" t="s">
        <v>746</v>
      </c>
      <c r="V13" s="4" t="s">
        <v>760</v>
      </c>
    </row>
    <row r="14" spans="1:22">
      <c r="A14" s="9" t="s">
        <v>744</v>
      </c>
      <c r="B14" s="9"/>
      <c r="C14" s="10">
        <f t="shared" si="1"/>
        <v>0</v>
      </c>
      <c r="D14" s="2">
        <f>SUM(D2:D13)</f>
        <v>0</v>
      </c>
      <c r="E14" s="2">
        <f>SUM(E2:E13)</f>
        <v>0</v>
      </c>
      <c r="F14" s="2">
        <f>SUM(F2:F13)</f>
        <v>0</v>
      </c>
      <c r="G14" s="2">
        <f>SUM(G2:G13)</f>
        <v>0</v>
      </c>
      <c r="H14" s="2">
        <f>SUM(H2:H13)</f>
        <v>0</v>
      </c>
      <c r="I14" s="3" t="s">
        <v>746</v>
      </c>
      <c r="J14" s="4" t="s">
        <v>769</v>
      </c>
      <c r="M14" s="4"/>
      <c r="N14" s="4" t="str">
        <f>N7</f>
        <v>144C/12T</v>
      </c>
      <c r="O14" s="26">
        <f t="shared" si="7"/>
        <v>0</v>
      </c>
      <c r="P14" s="13">
        <f t="shared" si="2"/>
        <v>0</v>
      </c>
      <c r="Q14" s="13">
        <f t="shared" si="3"/>
        <v>0</v>
      </c>
      <c r="R14" s="13">
        <f t="shared" si="4"/>
        <v>0</v>
      </c>
      <c r="S14" s="13">
        <f t="shared" si="5"/>
        <v>0</v>
      </c>
      <c r="T14" s="13">
        <f t="shared" si="6"/>
        <v>0</v>
      </c>
      <c r="U14" s="4" t="s">
        <v>746</v>
      </c>
      <c r="V14" s="4" t="s">
        <v>760</v>
      </c>
    </row>
    <row r="15" spans="1:22">
      <c r="A15" s="4"/>
      <c r="B15" s="11" t="s">
        <v>770</v>
      </c>
      <c r="C15" s="12">
        <f t="shared" si="1"/>
        <v>0</v>
      </c>
      <c r="D15" s="8"/>
      <c r="E15" s="8"/>
      <c r="F15" s="8"/>
      <c r="G15" s="8"/>
      <c r="H15" s="8"/>
      <c r="I15" s="11" t="s">
        <v>746</v>
      </c>
      <c r="J15" s="4" t="s">
        <v>747</v>
      </c>
      <c r="M15" s="4"/>
      <c r="N15" s="4" t="str">
        <f>N8</f>
        <v>288C/24T</v>
      </c>
      <c r="O15" s="26">
        <f t="shared" si="7"/>
        <v>0</v>
      </c>
      <c r="P15" s="13">
        <f t="shared" si="2"/>
        <v>0</v>
      </c>
      <c r="Q15" s="13">
        <f t="shared" si="3"/>
        <v>0</v>
      </c>
      <c r="R15" s="13">
        <f t="shared" si="4"/>
        <v>0</v>
      </c>
      <c r="S15" s="13">
        <f t="shared" si="5"/>
        <v>0</v>
      </c>
      <c r="T15" s="13">
        <f t="shared" si="6"/>
        <v>0</v>
      </c>
      <c r="U15" s="4" t="s">
        <v>746</v>
      </c>
      <c r="V15" s="4" t="s">
        <v>760</v>
      </c>
    </row>
    <row r="16" spans="1:22">
      <c r="A16" s="4" t="s">
        <v>771</v>
      </c>
      <c r="B16" s="4" t="str">
        <f t="shared" ref="B16:B27" si="8">B2</f>
        <v>Line A - 24C/2T</v>
      </c>
      <c r="C16" s="6">
        <f t="shared" si="1"/>
        <v>0</v>
      </c>
      <c r="D16" s="13">
        <f>IF(D2=0,0,(ROUNDUP(((D2)+($D$44+$D$40)*20)*1.05,0)))</f>
        <v>0</v>
      </c>
      <c r="E16" s="13">
        <f>IF(E2=0,0,(ROUNDUP(((E2)+($E$44+$E$40)*20)*1.05,0)))</f>
        <v>0</v>
      </c>
      <c r="F16" s="13">
        <f>IF(F2=0,0,(ROUNDUP(((F2)+($F$44+$F$40)*20)*1.05,0)))</f>
        <v>0</v>
      </c>
      <c r="G16" s="13">
        <f>IF(G2=0,0,(ROUNDUP(((G2)+($F$44+$F$40)*20)*1.05,0)))</f>
        <v>0</v>
      </c>
      <c r="H16" s="13">
        <f>IF(H2=0,0,(ROUNDUP(((H2)+($F$44+$F$40)*20)*1.05,0)))</f>
        <v>0</v>
      </c>
      <c r="I16" s="4" t="s">
        <v>746</v>
      </c>
      <c r="J16" s="4" t="s">
        <v>769</v>
      </c>
      <c r="M16" s="4" t="s">
        <v>772</v>
      </c>
      <c r="N16" s="4" t="str">
        <f>N2</f>
        <v>24C/2T</v>
      </c>
      <c r="O16" s="26">
        <f t="shared" si="7"/>
        <v>0</v>
      </c>
      <c r="P16" s="13">
        <f t="shared" ref="P16:P22" si="9">IF(P2=0,0,(ROUNDUP((P2/400)+1,0)))</f>
        <v>0</v>
      </c>
      <c r="Q16" s="13">
        <f t="shared" ref="Q16:Q22" si="10">IF(Q2=0,0,(ROUNDUP((Q2/400)+1,0)))</f>
        <v>0</v>
      </c>
      <c r="R16" s="13">
        <f t="shared" ref="R16:R22" si="11">IF(R2=0,0,(ROUNDUP((R2/400)+1,0)))</f>
        <v>0</v>
      </c>
      <c r="S16" s="13">
        <f t="shared" ref="S16:S22" si="12">IF(S2=0,0,(ROUNDUP((S2/400)+1,0)))</f>
        <v>0</v>
      </c>
      <c r="T16" s="13">
        <f t="shared" ref="T16:T22" si="13">IF(T2=0,0,(ROUNDUP((T2/400)+1,0)))</f>
        <v>0</v>
      </c>
      <c r="U16" s="4" t="s">
        <v>198</v>
      </c>
      <c r="V16" s="4" t="s">
        <v>760</v>
      </c>
    </row>
    <row r="17" spans="1:22">
      <c r="A17" s="4"/>
      <c r="B17" s="4" t="str">
        <f t="shared" si="8"/>
        <v>Line B - 24C/2T</v>
      </c>
      <c r="C17" s="6">
        <f t="shared" ref="C17:C40" si="14">SUM(D17:H17)</f>
        <v>0</v>
      </c>
      <c r="D17" s="13">
        <f>IF(D3=0,0,(ROUNDUP(((D3)+($D$45+$D$41)*20)*1.05,0)))</f>
        <v>0</v>
      </c>
      <c r="E17" s="13">
        <f>IF(E3=0,0,(ROUNDUP(((E3)+($E$45+$E$41)*20)*1.05,0)))</f>
        <v>0</v>
      </c>
      <c r="F17" s="13">
        <f>IF(F3=0,0,(ROUNDUP(((F3)+($F$45+$F$41)*20)*1.05,0)))</f>
        <v>0</v>
      </c>
      <c r="G17" s="13">
        <f>IF(G3=0,0,(ROUNDUP(((G3)+($F$45+$F$41)*20)*1.05,0)))</f>
        <v>0</v>
      </c>
      <c r="H17" s="13">
        <f>IF(H3=0,0,(ROUNDUP(((H3)+($F$45+$F$41)*20)*1.05,0)))</f>
        <v>0</v>
      </c>
      <c r="I17" s="4" t="s">
        <v>746</v>
      </c>
      <c r="J17" s="4" t="s">
        <v>769</v>
      </c>
      <c r="M17" s="4"/>
      <c r="N17" s="4" t="str">
        <f>N3</f>
        <v>36C/3T</v>
      </c>
      <c r="O17" s="26">
        <f t="shared" si="7"/>
        <v>0</v>
      </c>
      <c r="P17" s="13">
        <f t="shared" si="9"/>
        <v>0</v>
      </c>
      <c r="Q17" s="13">
        <f t="shared" si="10"/>
        <v>0</v>
      </c>
      <c r="R17" s="13">
        <f t="shared" si="11"/>
        <v>0</v>
      </c>
      <c r="S17" s="13">
        <f t="shared" si="12"/>
        <v>0</v>
      </c>
      <c r="T17" s="13">
        <f t="shared" si="13"/>
        <v>0</v>
      </c>
      <c r="U17" s="4" t="s">
        <v>198</v>
      </c>
      <c r="V17" s="4" t="s">
        <v>747</v>
      </c>
    </row>
    <row r="18" spans="1:22">
      <c r="A18" s="4"/>
      <c r="B18" s="4" t="str">
        <f t="shared" si="8"/>
        <v>Line C - 24C/2T</v>
      </c>
      <c r="C18" s="6">
        <f t="shared" si="14"/>
        <v>0</v>
      </c>
      <c r="D18" s="13">
        <f>IF(D4=0,0,(ROUNDUP(((D4)+($D$46+$D$42)*20)*1.05,0)))</f>
        <v>0</v>
      </c>
      <c r="E18" s="13">
        <f>IF(E4=0,0,(ROUNDUP(((E4)+($E$46+$E$42)*20)*1.05,0)))</f>
        <v>0</v>
      </c>
      <c r="F18" s="13">
        <f>IF(F4=0,0,(ROUNDUP(((F4)+($F$46+$F$42)*20)*1.05,0)))</f>
        <v>0</v>
      </c>
      <c r="G18" s="13">
        <f>IF(G4=0,0,(ROUNDUP(((G4)+($F$46+$F$42)*20)*1.05,0)))</f>
        <v>0</v>
      </c>
      <c r="H18" s="13">
        <f>IF(H4=0,0,(ROUNDUP(((H4)+($F$46+$F$42)*20)*1.05,0)))</f>
        <v>0</v>
      </c>
      <c r="I18" s="4" t="s">
        <v>746</v>
      </c>
      <c r="J18" s="4" t="s">
        <v>769</v>
      </c>
      <c r="M18" s="4"/>
      <c r="N18" s="4" t="str">
        <f>N4</f>
        <v>48C/4T</v>
      </c>
      <c r="O18" s="26">
        <f t="shared" si="7"/>
        <v>0</v>
      </c>
      <c r="P18" s="13">
        <f t="shared" si="9"/>
        <v>0</v>
      </c>
      <c r="Q18" s="13">
        <f t="shared" si="10"/>
        <v>0</v>
      </c>
      <c r="R18" s="13">
        <f t="shared" si="11"/>
        <v>0</v>
      </c>
      <c r="S18" s="13">
        <f t="shared" si="12"/>
        <v>0</v>
      </c>
      <c r="T18" s="13">
        <f t="shared" si="13"/>
        <v>0</v>
      </c>
      <c r="U18" s="4" t="s">
        <v>198</v>
      </c>
      <c r="V18" s="4" t="s">
        <v>747</v>
      </c>
    </row>
    <row r="19" spans="1:22">
      <c r="A19" s="4"/>
      <c r="B19" s="4" t="str">
        <f t="shared" si="8"/>
        <v>Line D - 24C/2T</v>
      </c>
      <c r="C19" s="6">
        <f t="shared" si="14"/>
        <v>0</v>
      </c>
      <c r="D19" s="13">
        <f>IF(D5=0,0,(ROUNDUP(((D5)+($D$47+$D$43)*20)*1.05,0)))</f>
        <v>0</v>
      </c>
      <c r="E19" s="13">
        <f>IF(E5=0,0,(ROUNDUP(((E5)+($E$47+$E$43)*20)*1.05,0)))</f>
        <v>0</v>
      </c>
      <c r="F19" s="13">
        <f>IF(F5=0,0,(ROUNDUP(((F5)+($F$47+$F$43)*20)*1.05,0)))</f>
        <v>0</v>
      </c>
      <c r="G19" s="13">
        <f>IF(G5=0,0,(ROUNDUP(((G5)+($F$47+$F$43)*20)*1.05,0)))</f>
        <v>0</v>
      </c>
      <c r="H19" s="13">
        <f>IF(H5=0,0,(ROUNDUP(((H5)+($F$47+$F$43)*20)*1.05,0)))</f>
        <v>0</v>
      </c>
      <c r="I19" s="4" t="s">
        <v>746</v>
      </c>
      <c r="J19" s="4" t="s">
        <v>769</v>
      </c>
      <c r="M19" s="4"/>
      <c r="N19" s="4" t="s">
        <v>755</v>
      </c>
      <c r="O19" s="26">
        <f t="shared" si="7"/>
        <v>0</v>
      </c>
      <c r="P19" s="13">
        <f t="shared" si="9"/>
        <v>0</v>
      </c>
      <c r="Q19" s="13">
        <f t="shared" si="10"/>
        <v>0</v>
      </c>
      <c r="R19" s="13">
        <f t="shared" si="11"/>
        <v>0</v>
      </c>
      <c r="S19" s="13">
        <f t="shared" si="12"/>
        <v>0</v>
      </c>
      <c r="T19" s="13">
        <f t="shared" si="13"/>
        <v>0</v>
      </c>
      <c r="U19" s="4" t="s">
        <v>198</v>
      </c>
      <c r="V19" s="4" t="s">
        <v>747</v>
      </c>
    </row>
    <row r="20" spans="1:22">
      <c r="A20" s="4"/>
      <c r="B20" s="4" t="str">
        <f t="shared" si="8"/>
        <v>Line A - 36C/3T</v>
      </c>
      <c r="C20" s="6">
        <f t="shared" si="14"/>
        <v>0</v>
      </c>
      <c r="D20" s="13">
        <f>IF(D6=0,0,(ROUNDUP(((D6)+($D$44+$D$40)*20)*1.05,0)))</f>
        <v>0</v>
      </c>
      <c r="E20" s="13">
        <f>IF(E6=0,0,(ROUNDUP(((E6)+($E$44+$E$40)*20)*1.05,0)))</f>
        <v>0</v>
      </c>
      <c r="F20" s="13">
        <f>IF(F6=0,0,(ROUNDUP(((F6)+($F$44+$F$40)*20)*1.05,0)))</f>
        <v>0</v>
      </c>
      <c r="G20" s="13">
        <f>IF(G6=0,0,(ROUNDUP(((G6)+($F$44+$F$40)*20)*1.05,0)))</f>
        <v>0</v>
      </c>
      <c r="H20" s="13">
        <f>IF(H6=0,0,(ROUNDUP(((H6)+($F$44+$F$40)*20)*1.05,0)))</f>
        <v>0</v>
      </c>
      <c r="I20" s="4" t="s">
        <v>746</v>
      </c>
      <c r="J20" s="4" t="s">
        <v>769</v>
      </c>
      <c r="M20" s="4"/>
      <c r="N20" s="4" t="s">
        <v>757</v>
      </c>
      <c r="O20" s="26">
        <f t="shared" si="7"/>
        <v>0</v>
      </c>
      <c r="P20" s="13">
        <f t="shared" si="9"/>
        <v>0</v>
      </c>
      <c r="Q20" s="13">
        <f t="shared" si="10"/>
        <v>0</v>
      </c>
      <c r="R20" s="13">
        <f t="shared" si="11"/>
        <v>0</v>
      </c>
      <c r="S20" s="13">
        <f t="shared" si="12"/>
        <v>0</v>
      </c>
      <c r="T20" s="13">
        <f t="shared" si="13"/>
        <v>0</v>
      </c>
      <c r="U20" s="4" t="s">
        <v>198</v>
      </c>
      <c r="V20" s="4" t="s">
        <v>747</v>
      </c>
    </row>
    <row r="21" spans="1:22">
      <c r="A21" s="4"/>
      <c r="B21" s="4" t="str">
        <f t="shared" si="8"/>
        <v>Line B - 36C/3T</v>
      </c>
      <c r="C21" s="6">
        <f t="shared" si="14"/>
        <v>0</v>
      </c>
      <c r="D21" s="13">
        <f>IF(D7=0,0,(ROUNDUP(((D7)+($D$45+$D$41)*20)*1.05,0)))</f>
        <v>0</v>
      </c>
      <c r="E21" s="13">
        <f>IF(E7=0,0,(ROUNDUP(((E7)+($E$45+$E$41)*20)*1.05,0)))</f>
        <v>0</v>
      </c>
      <c r="F21" s="13">
        <f>IF(F7=0,0,(ROUNDUP(((F7)+($F$45+$F$41)*20)*1.05,0)))</f>
        <v>0</v>
      </c>
      <c r="G21" s="13">
        <f>IF(G7=0,0,(ROUNDUP(((G7)+($F$45+$F$41)*20)*1.05,0)))</f>
        <v>0</v>
      </c>
      <c r="H21" s="13">
        <f>IF(H7=0,0,(ROUNDUP(((H7)+($F$45+$F$41)*20)*1.05,0)))</f>
        <v>0</v>
      </c>
      <c r="I21" s="4" t="s">
        <v>746</v>
      </c>
      <c r="J21" s="4" t="s">
        <v>769</v>
      </c>
      <c r="M21" s="4"/>
      <c r="N21" s="4" t="str">
        <f>N7</f>
        <v>144C/12T</v>
      </c>
      <c r="O21" s="26">
        <f t="shared" si="7"/>
        <v>0</v>
      </c>
      <c r="P21" s="13">
        <f t="shared" si="9"/>
        <v>0</v>
      </c>
      <c r="Q21" s="13">
        <f t="shared" si="10"/>
        <v>0</v>
      </c>
      <c r="R21" s="13">
        <f t="shared" si="11"/>
        <v>0</v>
      </c>
      <c r="S21" s="13">
        <f t="shared" si="12"/>
        <v>0</v>
      </c>
      <c r="T21" s="13">
        <f t="shared" si="13"/>
        <v>0</v>
      </c>
      <c r="U21" s="4" t="s">
        <v>198</v>
      </c>
      <c r="V21" s="4" t="s">
        <v>747</v>
      </c>
    </row>
    <row r="22" spans="1:22">
      <c r="A22" s="4"/>
      <c r="B22" s="4" t="str">
        <f t="shared" si="8"/>
        <v>Line C - 36C/3T</v>
      </c>
      <c r="C22" s="6">
        <f t="shared" si="14"/>
        <v>0</v>
      </c>
      <c r="D22" s="13">
        <f>IF(D8=0,0,(ROUNDUP(((D8)+($D$46+$D$42)*20)*1.05,0)))</f>
        <v>0</v>
      </c>
      <c r="E22" s="13">
        <f>IF(E8=0,0,(ROUNDUP(((E8)+($E$46+$E$42)*20)*1.05,0)))</f>
        <v>0</v>
      </c>
      <c r="F22" s="13">
        <f>IF(F8=0,0,(ROUNDUP(((F8)+($F$46+$F$42)*20)*1.05,0)))</f>
        <v>0</v>
      </c>
      <c r="G22" s="13">
        <f>IF(G8=0,0,(ROUNDUP(((G8)+($F$46+$F$42)*20)*1.05,0)))</f>
        <v>0</v>
      </c>
      <c r="H22" s="13">
        <f>IF(H8=0,0,(ROUNDUP(((H8)+($F$46+$F$42)*20)*1.05,0)))</f>
        <v>0</v>
      </c>
      <c r="I22" s="4" t="s">
        <v>746</v>
      </c>
      <c r="J22" s="4" t="s">
        <v>769</v>
      </c>
      <c r="M22" s="4"/>
      <c r="N22" s="4" t="str">
        <f>N8</f>
        <v>288C/24T</v>
      </c>
      <c r="O22" s="26">
        <f t="shared" si="7"/>
        <v>0</v>
      </c>
      <c r="P22" s="13">
        <f t="shared" si="9"/>
        <v>0</v>
      </c>
      <c r="Q22" s="13">
        <f t="shared" si="10"/>
        <v>0</v>
      </c>
      <c r="R22" s="13">
        <f t="shared" si="11"/>
        <v>0</v>
      </c>
      <c r="S22" s="13">
        <f t="shared" si="12"/>
        <v>0</v>
      </c>
      <c r="T22" s="13">
        <f t="shared" si="13"/>
        <v>0</v>
      </c>
      <c r="U22" s="4" t="s">
        <v>198</v>
      </c>
      <c r="V22" s="4" t="s">
        <v>747</v>
      </c>
    </row>
    <row r="23" spans="1:22">
      <c r="A23" s="4"/>
      <c r="B23" s="4" t="str">
        <f t="shared" si="8"/>
        <v>Line D - 36C/3T</v>
      </c>
      <c r="C23" s="6">
        <f t="shared" si="14"/>
        <v>0</v>
      </c>
      <c r="D23" s="13">
        <f>IF(D9=0,0,(ROUNDUP(((D9)+($D$47+$D$43)*20)*1.05,0)))</f>
        <v>0</v>
      </c>
      <c r="E23" s="13">
        <f>IF(E9=0,0,(ROUNDUP(((E9)+($E$47+$E$43)*20)*1.05,0)))</f>
        <v>0</v>
      </c>
      <c r="F23" s="13">
        <f>IF(F9=0,0,(ROUNDUP(((F9)+($F$47+$F$43)*20)*1.05,0)))</f>
        <v>0</v>
      </c>
      <c r="G23" s="13">
        <f>IF(G9=0,0,(ROUNDUP(((G9)+($F$47+$F$43)*20)*1.05,0)))</f>
        <v>0</v>
      </c>
      <c r="H23" s="13">
        <f>IF(H9=0,0,(ROUNDUP(((H9)+($F$47+$F$43)*20)*1.05,0)))</f>
        <v>0</v>
      </c>
      <c r="I23" s="4" t="s">
        <v>746</v>
      </c>
      <c r="J23" s="4" t="s">
        <v>769</v>
      </c>
      <c r="M23" s="4" t="s">
        <v>773</v>
      </c>
      <c r="N23" s="27" t="s">
        <v>167</v>
      </c>
      <c r="O23" s="25">
        <f t="shared" ref="O23:O47" si="15">SUM(P23:T23)</f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5" t="s">
        <v>774</v>
      </c>
      <c r="V23" s="4" t="s">
        <v>747</v>
      </c>
    </row>
    <row r="24" spans="1:22">
      <c r="A24" s="4"/>
      <c r="B24" s="4" t="str">
        <f t="shared" si="8"/>
        <v>Line A - 48C/4T</v>
      </c>
      <c r="C24" s="6">
        <f t="shared" si="14"/>
        <v>0</v>
      </c>
      <c r="D24" s="13">
        <f>IF(D10=0,0,(ROUNDUP(((D10)+($D$44+$D$40)*20)*1.05,0)))</f>
        <v>0</v>
      </c>
      <c r="E24" s="13">
        <f>IF(E10=0,0,(ROUNDUP(((E10)+($E$44+$E$40)*20)*1.05,0)))</f>
        <v>0</v>
      </c>
      <c r="F24" s="13">
        <f>IF(F10=0,0,(ROUNDUP(((F10)+($F$44+$F$40)*20)*1.05,0)))</f>
        <v>0</v>
      </c>
      <c r="G24" s="13">
        <f>IF(G10=0,0,(ROUNDUP(((G10)+($F$44+$F$40)*20)*1.05,0)))</f>
        <v>0</v>
      </c>
      <c r="H24" s="13">
        <f>IF(H10=0,0,(ROUNDUP(((H10)+($F$44+$F$40)*20)*1.05,0)))</f>
        <v>0</v>
      </c>
      <c r="I24" s="4" t="s">
        <v>746</v>
      </c>
      <c r="J24" s="4" t="s">
        <v>769</v>
      </c>
      <c r="M24" s="4"/>
      <c r="N24" s="27" t="s">
        <v>169</v>
      </c>
      <c r="O24" s="25">
        <f t="shared" si="15"/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5" t="s">
        <v>774</v>
      </c>
      <c r="V24" s="4" t="s">
        <v>747</v>
      </c>
    </row>
    <row r="25" spans="1:22">
      <c r="A25" s="4"/>
      <c r="B25" s="4" t="str">
        <f t="shared" si="8"/>
        <v>Line B - 48C/4T</v>
      </c>
      <c r="C25" s="6">
        <f t="shared" si="14"/>
        <v>0</v>
      </c>
      <c r="D25" s="13">
        <f>IF(D11=0,0,(ROUNDUP(((D11)+($D$45+$D$41)*20)*1.05,0)))</f>
        <v>0</v>
      </c>
      <c r="E25" s="13">
        <f>IF(E11=0,0,(ROUNDUP(((E11)+($E$45+$E$41)*20)*1.05,0)))</f>
        <v>0</v>
      </c>
      <c r="F25" s="13">
        <f>IF(F11=0,0,(ROUNDUP(((F11)+($F$45+$F$41)*20)*1.05,0)))</f>
        <v>0</v>
      </c>
      <c r="G25" s="13">
        <f>IF(G11=0,0,(ROUNDUP(((G11)+($F$45+$F$41)*20)*1.05,0)))</f>
        <v>0</v>
      </c>
      <c r="H25" s="13">
        <f>IF(H11=0,0,(ROUNDUP(((H11)+($F$45+$F$41)*20)*1.05,0)))</f>
        <v>0</v>
      </c>
      <c r="I25" s="4" t="s">
        <v>746</v>
      </c>
      <c r="J25" s="4" t="s">
        <v>769</v>
      </c>
      <c r="M25" s="4"/>
      <c r="N25" s="27" t="s">
        <v>171</v>
      </c>
      <c r="O25" s="25">
        <f t="shared" si="15"/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5" t="s">
        <v>774</v>
      </c>
      <c r="V25" s="4" t="s">
        <v>747</v>
      </c>
    </row>
    <row r="26" spans="1:22">
      <c r="A26" s="4"/>
      <c r="B26" s="4" t="str">
        <f t="shared" si="8"/>
        <v>Line C - 48C/4T</v>
      </c>
      <c r="C26" s="6">
        <f t="shared" si="14"/>
        <v>0</v>
      </c>
      <c r="D26" s="13">
        <f>IF(D12=0,0,(ROUNDUP(((D12)+($D$46+$D$42)*20)*1.05,0)))</f>
        <v>0</v>
      </c>
      <c r="E26" s="13">
        <f>IF(E12=0,0,(ROUNDUP(((E12)+($E$46+$E$42)*20)*1.05,0)))</f>
        <v>0</v>
      </c>
      <c r="F26" s="13">
        <f>IF(F12=0,0,(ROUNDUP(((F12)+($F$46+$F$42)*20)*1.05,0)))</f>
        <v>0</v>
      </c>
      <c r="G26" s="13">
        <f>IF(G12=0,0,(ROUNDUP(((G12)+($F$46+$F$42)*20)*1.05,0)))</f>
        <v>0</v>
      </c>
      <c r="H26" s="13">
        <f>IF(H12=0,0,(ROUNDUP(((H12)+($F$46+$F$42)*20)*1.05,0)))</f>
        <v>0</v>
      </c>
      <c r="I26" s="4" t="s">
        <v>746</v>
      </c>
      <c r="J26" s="4" t="s">
        <v>769</v>
      </c>
      <c r="M26" s="4"/>
      <c r="N26" s="27" t="s">
        <v>173</v>
      </c>
      <c r="O26" s="25">
        <f t="shared" si="15"/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5" t="s">
        <v>774</v>
      </c>
      <c r="V26" s="4" t="s">
        <v>747</v>
      </c>
    </row>
    <row r="27" spans="1:22">
      <c r="A27" s="4"/>
      <c r="B27" s="4" t="str">
        <f t="shared" si="8"/>
        <v>Line D - 48C/4T</v>
      </c>
      <c r="C27" s="6">
        <f t="shared" si="14"/>
        <v>0</v>
      </c>
      <c r="D27" s="13">
        <f>IF(D13=0,0,(ROUNDUP(((D13)+($D$47+$D$43)*20)*1.05,0)))</f>
        <v>0</v>
      </c>
      <c r="E27" s="13">
        <f>IF(E13=0,0,(ROUNDUP(((E13)+($E$47+$E$43)*20)*1.05,0)))</f>
        <v>0</v>
      </c>
      <c r="F27" s="13">
        <f>IF(F13=0,0,(ROUNDUP(((F13)+($F$47+$F$43)*20)*1.05,0)))</f>
        <v>0</v>
      </c>
      <c r="G27" s="13">
        <f>IF(G13=0,0,(ROUNDUP(((G13)+($F$47+$F$43)*20)*1.05,0)))</f>
        <v>0</v>
      </c>
      <c r="H27" s="13">
        <f>IF(H13=0,0,(ROUNDUP(((H13)+($F$47+$F$43)*20)*1.05,0)))</f>
        <v>0</v>
      </c>
      <c r="I27" s="4" t="s">
        <v>746</v>
      </c>
      <c r="J27" s="4" t="s">
        <v>769</v>
      </c>
      <c r="M27" s="4"/>
      <c r="N27" s="27" t="s">
        <v>176</v>
      </c>
      <c r="O27" s="25">
        <f t="shared" si="15"/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5" t="s">
        <v>774</v>
      </c>
      <c r="V27" s="4" t="s">
        <v>747</v>
      </c>
    </row>
    <row r="28" spans="1:22">
      <c r="A28" s="9" t="s">
        <v>775</v>
      </c>
      <c r="B28" s="9"/>
      <c r="C28" s="10">
        <f t="shared" si="14"/>
        <v>0</v>
      </c>
      <c r="D28" s="2">
        <f>SUM(D16:D27)</f>
        <v>0</v>
      </c>
      <c r="E28" s="2">
        <f>SUM(E16:E27)</f>
        <v>0</v>
      </c>
      <c r="F28" s="2">
        <f>SUM(F16:F27)</f>
        <v>0</v>
      </c>
      <c r="G28" s="2">
        <f>SUM(G16:G27)</f>
        <v>0</v>
      </c>
      <c r="H28" s="2">
        <f>SUM(H16:H27)</f>
        <v>0</v>
      </c>
      <c r="I28" s="3" t="s">
        <v>746</v>
      </c>
      <c r="J28" s="4" t="s">
        <v>769</v>
      </c>
      <c r="M28" s="4"/>
      <c r="N28" s="27" t="s">
        <v>178</v>
      </c>
      <c r="O28" s="25">
        <f t="shared" si="15"/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5" t="s">
        <v>774</v>
      </c>
      <c r="V28" s="4" t="s">
        <v>747</v>
      </c>
    </row>
    <row r="29" spans="1:22">
      <c r="A29" s="4"/>
      <c r="B29" s="11" t="s">
        <v>776</v>
      </c>
      <c r="C29" s="12">
        <f t="shared" si="14"/>
        <v>0</v>
      </c>
      <c r="D29" s="14">
        <f>ROUNDUP(((D15*5%)+D15),0)</f>
        <v>0</v>
      </c>
      <c r="E29" s="14">
        <f>ROUNDUP(((E15*5%)+E15),0)</f>
        <v>0</v>
      </c>
      <c r="F29" s="14">
        <f>ROUNDUP(((F15*5%)+F15),0)</f>
        <v>0</v>
      </c>
      <c r="G29" s="14">
        <f>ROUNDUP(((G15*5%)+G15),0)</f>
        <v>0</v>
      </c>
      <c r="H29" s="14">
        <f>ROUNDUP(((H15*5%)+H15),0)</f>
        <v>0</v>
      </c>
      <c r="I29" s="11" t="s">
        <v>746</v>
      </c>
      <c r="J29" s="4" t="s">
        <v>769</v>
      </c>
      <c r="M29" s="4"/>
      <c r="N29" s="27" t="s">
        <v>777</v>
      </c>
      <c r="O29" s="25">
        <f t="shared" si="15"/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5" t="s">
        <v>774</v>
      </c>
      <c r="V29" s="4" t="s">
        <v>747</v>
      </c>
    </row>
    <row r="30" spans="1:22">
      <c r="A30" s="4" t="s">
        <v>778</v>
      </c>
      <c r="B30" s="5" t="s">
        <v>779</v>
      </c>
      <c r="C30" s="6">
        <f t="shared" si="14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5" t="s">
        <v>72</v>
      </c>
      <c r="J30" s="4" t="s">
        <v>747</v>
      </c>
      <c r="M30" s="4"/>
      <c r="N30" s="27" t="s">
        <v>182</v>
      </c>
      <c r="O30" s="25">
        <f t="shared" si="15"/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5" t="s">
        <v>774</v>
      </c>
      <c r="V30" s="4" t="s">
        <v>747</v>
      </c>
    </row>
    <row r="31" spans="1:22">
      <c r="A31" s="4"/>
      <c r="B31" s="5" t="s">
        <v>780</v>
      </c>
      <c r="C31" s="6">
        <f t="shared" si="14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5" t="s">
        <v>72</v>
      </c>
      <c r="J31" s="4" t="s">
        <v>747</v>
      </c>
      <c r="M31" s="4"/>
      <c r="N31" s="28" t="s">
        <v>184</v>
      </c>
      <c r="O31" s="25">
        <f t="shared" si="15"/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5" t="s">
        <v>774</v>
      </c>
      <c r="V31" s="4" t="s">
        <v>760</v>
      </c>
    </row>
    <row r="32" spans="1:22">
      <c r="A32" s="4"/>
      <c r="B32" s="5" t="s">
        <v>781</v>
      </c>
      <c r="C32" s="6">
        <f t="shared" si="14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5" t="s">
        <v>72</v>
      </c>
      <c r="J32" s="4" t="s">
        <v>747</v>
      </c>
      <c r="M32" s="4"/>
      <c r="N32" s="28" t="s">
        <v>186</v>
      </c>
      <c r="O32" s="25">
        <f t="shared" si="15"/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5" t="s">
        <v>774</v>
      </c>
      <c r="V32" s="4" t="s">
        <v>760</v>
      </c>
    </row>
    <row r="33" spans="1:22">
      <c r="A33" s="4"/>
      <c r="B33" s="5" t="s">
        <v>782</v>
      </c>
      <c r="C33" s="6">
        <f t="shared" si="14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5" t="s">
        <v>72</v>
      </c>
      <c r="J33" s="4" t="s">
        <v>747</v>
      </c>
      <c r="M33" s="4"/>
      <c r="N33" s="28" t="s">
        <v>188</v>
      </c>
      <c r="O33" s="25">
        <f t="shared" si="15"/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5" t="s">
        <v>774</v>
      </c>
      <c r="V33" s="4" t="s">
        <v>760</v>
      </c>
    </row>
    <row r="34" spans="1:22">
      <c r="A34" s="4" t="s">
        <v>783</v>
      </c>
      <c r="B34" s="4" t="s">
        <v>784</v>
      </c>
      <c r="C34" s="15">
        <f t="shared" si="14"/>
        <v>0</v>
      </c>
      <c r="D34" s="13">
        <f>(ROUNDUP((D35/8),0))</f>
        <v>0</v>
      </c>
      <c r="E34" s="13">
        <f>(ROUNDUP((E35/8),0))</f>
        <v>0</v>
      </c>
      <c r="F34" s="13">
        <f>(ROUNDUP((F35/8),0))</f>
        <v>0</v>
      </c>
      <c r="G34" s="13">
        <f>(ROUNDUP((G35/8),0))</f>
        <v>0</v>
      </c>
      <c r="H34" s="13">
        <f>(ROUNDUP((H35/8),0))</f>
        <v>0</v>
      </c>
      <c r="I34" s="4" t="s">
        <v>123</v>
      </c>
      <c r="J34" s="4" t="s">
        <v>769</v>
      </c>
      <c r="M34" s="4"/>
      <c r="N34" s="28" t="s">
        <v>190</v>
      </c>
      <c r="O34" s="25">
        <f t="shared" si="15"/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5" t="s">
        <v>774</v>
      </c>
      <c r="V34" s="4" t="s">
        <v>760</v>
      </c>
    </row>
    <row r="35" spans="1:22">
      <c r="A35" s="4"/>
      <c r="B35" s="4" t="s">
        <v>785</v>
      </c>
      <c r="C35" s="15">
        <f t="shared" si="14"/>
        <v>0</v>
      </c>
      <c r="D35" s="13">
        <f>SUM(D36:D39)</f>
        <v>0</v>
      </c>
      <c r="E35" s="13">
        <f>SUM(E36:E39)</f>
        <v>0</v>
      </c>
      <c r="F35" s="13">
        <f>SUM(F36:F39)</f>
        <v>0</v>
      </c>
      <c r="G35" s="13">
        <f>SUM(G36:G39)</f>
        <v>0</v>
      </c>
      <c r="H35" s="13">
        <f>SUM(H36:H39)</f>
        <v>0</v>
      </c>
      <c r="I35" s="4" t="s">
        <v>123</v>
      </c>
      <c r="J35" s="4" t="s">
        <v>769</v>
      </c>
      <c r="M35" s="4"/>
      <c r="N35" s="28" t="s">
        <v>192</v>
      </c>
      <c r="O35" s="25">
        <f t="shared" si="15"/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5" t="s">
        <v>774</v>
      </c>
      <c r="V35" s="4" t="s">
        <v>760</v>
      </c>
    </row>
    <row r="36" spans="1:22">
      <c r="A36" s="4" t="s">
        <v>786</v>
      </c>
      <c r="B36" s="5" t="s">
        <v>787</v>
      </c>
      <c r="C36" s="6">
        <f t="shared" si="14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5" t="s">
        <v>123</v>
      </c>
      <c r="J36" s="4" t="s">
        <v>747</v>
      </c>
      <c r="M36" s="4"/>
      <c r="N36" s="28" t="s">
        <v>194</v>
      </c>
      <c r="O36" s="25">
        <f t="shared" si="15"/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5" t="s">
        <v>774</v>
      </c>
      <c r="V36" s="4" t="s">
        <v>760</v>
      </c>
    </row>
    <row r="37" spans="1:22">
      <c r="A37" s="4"/>
      <c r="B37" s="5" t="s">
        <v>788</v>
      </c>
      <c r="C37" s="6">
        <f t="shared" si="14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5" t="s">
        <v>123</v>
      </c>
      <c r="J37" s="4" t="s">
        <v>747</v>
      </c>
      <c r="M37" s="4" t="s">
        <v>789</v>
      </c>
      <c r="N37" s="4" t="s">
        <v>464</v>
      </c>
      <c r="O37" s="26">
        <f t="shared" si="15"/>
        <v>0</v>
      </c>
      <c r="P37" s="13">
        <f t="shared" ref="P37:T37" si="16">SUM(P16:P22)</f>
        <v>0</v>
      </c>
      <c r="Q37" s="13">
        <f t="shared" si="16"/>
        <v>0</v>
      </c>
      <c r="R37" s="13">
        <f t="shared" si="16"/>
        <v>0</v>
      </c>
      <c r="S37" s="13">
        <f t="shared" si="16"/>
        <v>0</v>
      </c>
      <c r="T37" s="13">
        <f t="shared" si="16"/>
        <v>0</v>
      </c>
      <c r="U37" s="4" t="s">
        <v>198</v>
      </c>
      <c r="V37" s="4" t="s">
        <v>747</v>
      </c>
    </row>
    <row r="38" spans="1:22">
      <c r="A38" s="4"/>
      <c r="B38" s="5" t="s">
        <v>790</v>
      </c>
      <c r="C38" s="6">
        <f t="shared" si="14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5" t="s">
        <v>123</v>
      </c>
      <c r="J38" s="4" t="s">
        <v>747</v>
      </c>
      <c r="M38" s="4"/>
      <c r="N38" s="4" t="s">
        <v>469</v>
      </c>
      <c r="O38" s="26">
        <f t="shared" si="15"/>
        <v>0</v>
      </c>
      <c r="P38" s="13">
        <f t="shared" ref="P38:T38" si="17">P37*4</f>
        <v>0</v>
      </c>
      <c r="Q38" s="13">
        <f t="shared" si="17"/>
        <v>0</v>
      </c>
      <c r="R38" s="13">
        <f t="shared" si="17"/>
        <v>0</v>
      </c>
      <c r="S38" s="13">
        <f t="shared" si="17"/>
        <v>0</v>
      </c>
      <c r="T38" s="13">
        <f t="shared" si="17"/>
        <v>0</v>
      </c>
      <c r="U38" s="4" t="s">
        <v>198</v>
      </c>
      <c r="V38" s="4" t="s">
        <v>760</v>
      </c>
    </row>
    <row r="39" spans="1:22">
      <c r="A39" s="4"/>
      <c r="B39" s="5" t="s">
        <v>791</v>
      </c>
      <c r="C39" s="6">
        <f t="shared" si="14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5" t="s">
        <v>123</v>
      </c>
      <c r="J39" s="4" t="s">
        <v>747</v>
      </c>
      <c r="M39" s="4"/>
      <c r="N39" s="4" t="s">
        <v>471</v>
      </c>
      <c r="O39" s="26">
        <f t="shared" si="15"/>
        <v>0</v>
      </c>
      <c r="P39" s="13">
        <f t="shared" ref="P39:T39" si="18">ROUNDUP((SUM(P49,P52,P53,P54,P55,P58,P59)*20%),0)</f>
        <v>0</v>
      </c>
      <c r="Q39" s="13">
        <f t="shared" si="18"/>
        <v>0</v>
      </c>
      <c r="R39" s="13">
        <f t="shared" si="18"/>
        <v>0</v>
      </c>
      <c r="S39" s="13">
        <f t="shared" si="18"/>
        <v>0</v>
      </c>
      <c r="T39" s="13">
        <f t="shared" si="18"/>
        <v>0</v>
      </c>
      <c r="U39" s="4" t="s">
        <v>198</v>
      </c>
      <c r="V39" s="4" t="s">
        <v>760</v>
      </c>
    </row>
    <row r="40" spans="1:22">
      <c r="A40" s="4" t="s">
        <v>792</v>
      </c>
      <c r="B40" s="4" t="str">
        <f>B36</f>
        <v>Line A</v>
      </c>
      <c r="C40" s="15">
        <f t="shared" si="14"/>
        <v>0</v>
      </c>
      <c r="D40" s="13">
        <f t="shared" ref="D40:E43" si="19">IF(D36&gt;=1,1,0)</f>
        <v>0</v>
      </c>
      <c r="E40" s="13">
        <f t="shared" si="19"/>
        <v>0</v>
      </c>
      <c r="F40" s="13">
        <f t="shared" ref="F40:H40" si="20">IF(F36&gt;=1,1,0)</f>
        <v>0</v>
      </c>
      <c r="G40" s="13">
        <f t="shared" si="20"/>
        <v>0</v>
      </c>
      <c r="H40" s="13">
        <f t="shared" si="20"/>
        <v>0</v>
      </c>
      <c r="I40" s="4" t="s">
        <v>793</v>
      </c>
      <c r="J40" s="4" t="s">
        <v>769</v>
      </c>
      <c r="M40" s="4"/>
      <c r="N40" s="4" t="s">
        <v>794</v>
      </c>
      <c r="O40" s="26">
        <f t="shared" si="15"/>
        <v>0</v>
      </c>
      <c r="P40" s="13">
        <f t="shared" ref="P40:T40" si="21">(P48/40)*6</f>
        <v>0</v>
      </c>
      <c r="Q40" s="13">
        <f t="shared" si="21"/>
        <v>0</v>
      </c>
      <c r="R40" s="13">
        <f t="shared" si="21"/>
        <v>0</v>
      </c>
      <c r="S40" s="13">
        <f t="shared" si="21"/>
        <v>0</v>
      </c>
      <c r="T40" s="13">
        <f t="shared" si="21"/>
        <v>0</v>
      </c>
      <c r="U40" s="4" t="s">
        <v>198</v>
      </c>
      <c r="V40" s="4" t="s">
        <v>747</v>
      </c>
    </row>
    <row r="41" spans="1:22">
      <c r="A41" s="4"/>
      <c r="B41" s="4" t="str">
        <f>B37</f>
        <v>Line B</v>
      </c>
      <c r="C41" s="15">
        <f t="shared" ref="C41:C48" si="22">SUM(D41:H41)</f>
        <v>0</v>
      </c>
      <c r="D41" s="13">
        <f t="shared" si="19"/>
        <v>0</v>
      </c>
      <c r="E41" s="13">
        <f t="shared" si="19"/>
        <v>0</v>
      </c>
      <c r="F41" s="13">
        <f t="shared" ref="F41:H41" si="23">IF(F37&gt;=1,1,0)</f>
        <v>0</v>
      </c>
      <c r="G41" s="13">
        <f t="shared" si="23"/>
        <v>0</v>
      </c>
      <c r="H41" s="13">
        <f t="shared" si="23"/>
        <v>0</v>
      </c>
      <c r="I41" s="4" t="s">
        <v>793</v>
      </c>
      <c r="J41" s="4" t="s">
        <v>769</v>
      </c>
      <c r="M41" s="4"/>
      <c r="N41" s="4" t="s">
        <v>795</v>
      </c>
      <c r="O41" s="26">
        <f t="shared" si="15"/>
        <v>0</v>
      </c>
      <c r="P41" s="13">
        <f t="shared" ref="P41:T41" si="24">P45*2</f>
        <v>0</v>
      </c>
      <c r="Q41" s="13">
        <f t="shared" si="24"/>
        <v>0</v>
      </c>
      <c r="R41" s="13">
        <f t="shared" si="24"/>
        <v>0</v>
      </c>
      <c r="S41" s="13">
        <f t="shared" si="24"/>
        <v>0</v>
      </c>
      <c r="T41" s="13">
        <f t="shared" si="24"/>
        <v>0</v>
      </c>
      <c r="U41" s="4" t="s">
        <v>198</v>
      </c>
      <c r="V41" s="4" t="s">
        <v>747</v>
      </c>
    </row>
    <row r="42" spans="1:22">
      <c r="A42" s="4"/>
      <c r="B42" s="4" t="str">
        <f>B38</f>
        <v>Line C</v>
      </c>
      <c r="C42" s="15">
        <f t="shared" si="22"/>
        <v>0</v>
      </c>
      <c r="D42" s="13">
        <f t="shared" si="19"/>
        <v>0</v>
      </c>
      <c r="E42" s="13">
        <f t="shared" si="19"/>
        <v>0</v>
      </c>
      <c r="F42" s="13">
        <f t="shared" ref="F42:H42" si="25">IF(F38&gt;=1,1,0)</f>
        <v>0</v>
      </c>
      <c r="G42" s="13">
        <f t="shared" si="25"/>
        <v>0</v>
      </c>
      <c r="H42" s="13">
        <f t="shared" si="25"/>
        <v>0</v>
      </c>
      <c r="I42" s="4" t="s">
        <v>793</v>
      </c>
      <c r="J42" s="4" t="s">
        <v>769</v>
      </c>
      <c r="M42" s="4"/>
      <c r="N42" s="4" t="s">
        <v>796</v>
      </c>
      <c r="O42" s="26">
        <f t="shared" si="15"/>
        <v>0</v>
      </c>
      <c r="P42" s="13">
        <f t="shared" ref="P42:T42" si="26">SUM(P49:P54)</f>
        <v>0</v>
      </c>
      <c r="Q42" s="13">
        <f t="shared" si="26"/>
        <v>0</v>
      </c>
      <c r="R42" s="13">
        <f t="shared" si="26"/>
        <v>0</v>
      </c>
      <c r="S42" s="13">
        <f t="shared" si="26"/>
        <v>0</v>
      </c>
      <c r="T42" s="13">
        <f t="shared" si="26"/>
        <v>0</v>
      </c>
      <c r="U42" s="4" t="s">
        <v>198</v>
      </c>
      <c r="V42" s="4" t="s">
        <v>747</v>
      </c>
    </row>
    <row r="43" spans="1:22">
      <c r="A43" s="4"/>
      <c r="B43" s="4" t="str">
        <f>B39</f>
        <v>Line D</v>
      </c>
      <c r="C43" s="15">
        <f t="shared" si="22"/>
        <v>0</v>
      </c>
      <c r="D43" s="13">
        <f t="shared" si="19"/>
        <v>0</v>
      </c>
      <c r="E43" s="13">
        <f t="shared" si="19"/>
        <v>0</v>
      </c>
      <c r="F43" s="13">
        <f t="shared" ref="F43:H43" si="27">IF(F39&gt;=1,1,0)</f>
        <v>0</v>
      </c>
      <c r="G43" s="13">
        <f t="shared" si="27"/>
        <v>0</v>
      </c>
      <c r="H43" s="13">
        <f t="shared" si="27"/>
        <v>0</v>
      </c>
      <c r="I43" s="4" t="s">
        <v>793</v>
      </c>
      <c r="J43" s="4" t="s">
        <v>769</v>
      </c>
      <c r="M43" s="4"/>
      <c r="N43" s="5" t="s">
        <v>477</v>
      </c>
      <c r="O43" s="25">
        <f t="shared" si="15"/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5" t="s">
        <v>198</v>
      </c>
      <c r="V43" s="4" t="s">
        <v>747</v>
      </c>
    </row>
    <row r="44" spans="1:22">
      <c r="A44" s="4" t="s">
        <v>797</v>
      </c>
      <c r="B44" s="4" t="str">
        <f t="shared" ref="B44:B47" si="28">B36</f>
        <v>Line A</v>
      </c>
      <c r="C44" s="15">
        <f t="shared" si="22"/>
        <v>0</v>
      </c>
      <c r="D44" s="13">
        <f t="shared" ref="D44" si="29">D36</f>
        <v>0</v>
      </c>
      <c r="E44" s="13">
        <f t="shared" ref="E44:F47" si="30">E36</f>
        <v>0</v>
      </c>
      <c r="F44" s="13">
        <f t="shared" si="30"/>
        <v>0</v>
      </c>
      <c r="G44" s="13">
        <f>G36</f>
        <v>0</v>
      </c>
      <c r="H44" s="13">
        <f>H36</f>
        <v>0</v>
      </c>
      <c r="I44" s="4" t="s">
        <v>793</v>
      </c>
      <c r="J44" s="4" t="s">
        <v>769</v>
      </c>
      <c r="M44" s="4"/>
      <c r="N44" s="4" t="s">
        <v>798</v>
      </c>
      <c r="O44" s="26">
        <f t="shared" si="15"/>
        <v>0</v>
      </c>
      <c r="P44" s="13">
        <f t="shared" ref="P44:T44" si="31">SUM(P49:P59)-P39</f>
        <v>0</v>
      </c>
      <c r="Q44" s="13">
        <f t="shared" si="31"/>
        <v>0</v>
      </c>
      <c r="R44" s="13">
        <f t="shared" si="31"/>
        <v>0</v>
      </c>
      <c r="S44" s="13">
        <f t="shared" si="31"/>
        <v>0</v>
      </c>
      <c r="T44" s="13">
        <f t="shared" si="31"/>
        <v>0</v>
      </c>
      <c r="U44" s="4" t="s">
        <v>198</v>
      </c>
      <c r="V44" s="4" t="s">
        <v>747</v>
      </c>
    </row>
    <row r="45" spans="1:22">
      <c r="A45" s="4"/>
      <c r="B45" s="4" t="str">
        <f t="shared" si="28"/>
        <v>Line B</v>
      </c>
      <c r="C45" s="15">
        <f t="shared" si="22"/>
        <v>0</v>
      </c>
      <c r="D45" s="13">
        <f t="shared" ref="D45" si="32">D37</f>
        <v>0</v>
      </c>
      <c r="E45" s="13">
        <f t="shared" si="30"/>
        <v>0</v>
      </c>
      <c r="F45" s="13">
        <f t="shared" si="30"/>
        <v>0</v>
      </c>
      <c r="G45" s="13">
        <f>G37</f>
        <v>0</v>
      </c>
      <c r="H45" s="13">
        <f>H37</f>
        <v>0</v>
      </c>
      <c r="I45" s="4" t="s">
        <v>793</v>
      </c>
      <c r="J45" s="4" t="s">
        <v>769</v>
      </c>
      <c r="M45" s="4"/>
      <c r="N45" s="4" t="s">
        <v>799</v>
      </c>
      <c r="O45" s="26">
        <f t="shared" si="15"/>
        <v>0</v>
      </c>
      <c r="P45" s="13">
        <f t="shared" ref="P45:T45" si="33">P39</f>
        <v>0</v>
      </c>
      <c r="Q45" s="13">
        <f t="shared" si="33"/>
        <v>0</v>
      </c>
      <c r="R45" s="13">
        <f t="shared" si="33"/>
        <v>0</v>
      </c>
      <c r="S45" s="13">
        <f t="shared" si="33"/>
        <v>0</v>
      </c>
      <c r="T45" s="13">
        <f t="shared" si="33"/>
        <v>0</v>
      </c>
      <c r="U45" s="4" t="s">
        <v>198</v>
      </c>
      <c r="V45" s="4" t="s">
        <v>747</v>
      </c>
    </row>
    <row r="46" spans="1:22">
      <c r="A46" s="4"/>
      <c r="B46" s="4" t="str">
        <f t="shared" si="28"/>
        <v>Line C</v>
      </c>
      <c r="C46" s="15">
        <f t="shared" si="22"/>
        <v>0</v>
      </c>
      <c r="D46" s="13">
        <f t="shared" ref="D46" si="34">D38</f>
        <v>0</v>
      </c>
      <c r="E46" s="13">
        <f t="shared" si="30"/>
        <v>0</v>
      </c>
      <c r="F46" s="13">
        <f t="shared" si="30"/>
        <v>0</v>
      </c>
      <c r="G46" s="13">
        <f>G38</f>
        <v>0</v>
      </c>
      <c r="H46" s="13">
        <f>H38</f>
        <v>0</v>
      </c>
      <c r="I46" s="4" t="s">
        <v>793</v>
      </c>
      <c r="J46" s="4" t="s">
        <v>769</v>
      </c>
      <c r="M46" s="4"/>
      <c r="N46" s="5" t="s">
        <v>492</v>
      </c>
      <c r="O46" s="25">
        <f t="shared" si="15"/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5" t="s">
        <v>198</v>
      </c>
      <c r="V46" s="4" t="s">
        <v>747</v>
      </c>
    </row>
    <row r="47" spans="1:22">
      <c r="A47" s="4"/>
      <c r="B47" s="4" t="str">
        <f t="shared" si="28"/>
        <v>Line D</v>
      </c>
      <c r="C47" s="15">
        <f t="shared" si="22"/>
        <v>0</v>
      </c>
      <c r="D47" s="13">
        <f t="shared" ref="D47" si="35">D39</f>
        <v>0</v>
      </c>
      <c r="E47" s="13">
        <f t="shared" si="30"/>
        <v>0</v>
      </c>
      <c r="F47" s="13">
        <f t="shared" si="30"/>
        <v>0</v>
      </c>
      <c r="G47" s="13">
        <f>G39</f>
        <v>0</v>
      </c>
      <c r="H47" s="13">
        <f>H39</f>
        <v>0</v>
      </c>
      <c r="I47" s="4" t="s">
        <v>793</v>
      </c>
      <c r="J47" s="4" t="s">
        <v>769</v>
      </c>
      <c r="M47" s="4"/>
      <c r="N47" s="5" t="s">
        <v>494</v>
      </c>
      <c r="O47" s="25">
        <f t="shared" si="15"/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5" t="s">
        <v>198</v>
      </c>
      <c r="V47" s="4" t="s">
        <v>747</v>
      </c>
    </row>
    <row r="48" spans="1:22">
      <c r="A48" s="9" t="s">
        <v>800</v>
      </c>
      <c r="B48" s="9"/>
      <c r="C48" s="10">
        <f t="shared" si="22"/>
        <v>0</v>
      </c>
      <c r="D48" s="3">
        <f>SUM(D40:D47)*20</f>
        <v>0</v>
      </c>
      <c r="E48" s="3">
        <f>SUM(E40:E47)*20</f>
        <v>0</v>
      </c>
      <c r="F48" s="3">
        <f>SUM(F40:F47)*20</f>
        <v>0</v>
      </c>
      <c r="G48" s="3">
        <f>SUM(G40:G47)*20</f>
        <v>0</v>
      </c>
      <c r="H48" s="3">
        <f>SUM(H40:H47)*20</f>
        <v>0</v>
      </c>
      <c r="I48" s="3" t="s">
        <v>746</v>
      </c>
      <c r="J48" s="4" t="s">
        <v>769</v>
      </c>
      <c r="M48" s="4" t="s">
        <v>801</v>
      </c>
      <c r="N48" s="4"/>
      <c r="O48" s="4"/>
      <c r="P48" s="4"/>
      <c r="Q48" s="4"/>
      <c r="R48" s="4"/>
      <c r="S48" s="4"/>
      <c r="T48" s="4"/>
      <c r="U48" s="4" t="s">
        <v>42</v>
      </c>
      <c r="V48" s="4" t="s">
        <v>747</v>
      </c>
    </row>
    <row r="49" spans="1:22">
      <c r="A49" s="4" t="s">
        <v>802</v>
      </c>
      <c r="B49" s="16" t="s">
        <v>803</v>
      </c>
      <c r="C49" s="15">
        <f t="shared" ref="C49:C62" si="36">SUM(D49:H49)</f>
        <v>0</v>
      </c>
      <c r="D49" s="17">
        <f>SUM(D53:D61)*10%</f>
        <v>0</v>
      </c>
      <c r="E49" s="17">
        <f>SUM(E53:E61)*10%</f>
        <v>0</v>
      </c>
      <c r="F49" s="17">
        <f>SUM(F53:F61)*10%</f>
        <v>0</v>
      </c>
      <c r="G49" s="17">
        <f>SUM(G53:G61)*10%</f>
        <v>0</v>
      </c>
      <c r="H49" s="17">
        <f>SUM(H53:H61)*10%</f>
        <v>0</v>
      </c>
      <c r="I49" s="16" t="s">
        <v>198</v>
      </c>
      <c r="J49" s="4" t="s">
        <v>769</v>
      </c>
      <c r="M49" s="4" t="s">
        <v>804</v>
      </c>
      <c r="N49" s="5" t="s">
        <v>805</v>
      </c>
      <c r="O49" s="25">
        <f>SUM(P49:T49)</f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5" t="s">
        <v>774</v>
      </c>
      <c r="V49" s="4" t="s">
        <v>747</v>
      </c>
    </row>
    <row r="50" spans="1:22">
      <c r="A50" s="4"/>
      <c r="B50" s="16" t="s">
        <v>213</v>
      </c>
      <c r="C50" s="15">
        <f t="shared" si="36"/>
        <v>0</v>
      </c>
      <c r="D50" s="18">
        <f>SUM(D30:D33)</f>
        <v>0</v>
      </c>
      <c r="E50" s="18">
        <f>SUM(E30:E33)</f>
        <v>0</v>
      </c>
      <c r="F50" s="18">
        <f>SUM(F30:F33)</f>
        <v>0</v>
      </c>
      <c r="G50" s="18">
        <f>SUM(G30:G33)</f>
        <v>0</v>
      </c>
      <c r="H50" s="18">
        <f>SUM(H30:H33)</f>
        <v>0</v>
      </c>
      <c r="I50" s="16" t="s">
        <v>198</v>
      </c>
      <c r="J50" s="4" t="s">
        <v>769</v>
      </c>
      <c r="N50" s="5" t="s">
        <v>806</v>
      </c>
      <c r="O50" s="25">
        <f>SUM(P50:T50)</f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5" t="s">
        <v>774</v>
      </c>
      <c r="V50" s="4" t="s">
        <v>760</v>
      </c>
    </row>
    <row r="51" spans="1:22">
      <c r="A51" s="4"/>
      <c r="B51" s="16" t="s">
        <v>807</v>
      </c>
      <c r="C51" s="15">
        <f t="shared" si="36"/>
        <v>0</v>
      </c>
      <c r="D51" s="18">
        <f>SUM(D36:D39)</f>
        <v>0</v>
      </c>
      <c r="E51" s="18">
        <f>SUM(E36:E39)</f>
        <v>0</v>
      </c>
      <c r="F51" s="18">
        <f>SUM(F36:F39)</f>
        <v>0</v>
      </c>
      <c r="G51" s="18">
        <f>SUM(G36:G39)</f>
        <v>0</v>
      </c>
      <c r="H51" s="18">
        <f>SUM(H36:H39)</f>
        <v>0</v>
      </c>
      <c r="I51" s="16" t="s">
        <v>198</v>
      </c>
      <c r="J51" s="4" t="s">
        <v>769</v>
      </c>
      <c r="N51" s="5" t="s">
        <v>808</v>
      </c>
      <c r="O51" s="25">
        <f>SUM(P51:T51)</f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5" t="s">
        <v>774</v>
      </c>
      <c r="V51" s="4" t="s">
        <v>760</v>
      </c>
    </row>
    <row r="52" spans="1:22">
      <c r="A52" s="4"/>
      <c r="B52" s="16" t="s">
        <v>219</v>
      </c>
      <c r="C52" s="15">
        <f t="shared" si="36"/>
        <v>0</v>
      </c>
      <c r="D52" s="18">
        <f>SUM(D53:D58)</f>
        <v>0</v>
      </c>
      <c r="E52" s="18">
        <f>SUM(E53:E58)</f>
        <v>0</v>
      </c>
      <c r="F52" s="18">
        <f>SUM(F53:F58)</f>
        <v>0</v>
      </c>
      <c r="G52" s="18">
        <f>SUM(G53:G58)</f>
        <v>0</v>
      </c>
      <c r="H52" s="18">
        <f>SUM(H53:H58)</f>
        <v>0</v>
      </c>
      <c r="I52" s="16" t="s">
        <v>198</v>
      </c>
      <c r="J52" s="4" t="s">
        <v>769</v>
      </c>
      <c r="M52" s="4"/>
      <c r="N52" s="19" t="s">
        <v>809</v>
      </c>
      <c r="O52" s="29"/>
      <c r="P52" s="29"/>
      <c r="Q52" s="29"/>
      <c r="R52" s="29"/>
      <c r="S52" s="29"/>
      <c r="T52" s="29"/>
      <c r="U52" s="19" t="s">
        <v>774</v>
      </c>
      <c r="V52" s="4" t="s">
        <v>747</v>
      </c>
    </row>
    <row r="53" spans="1:22">
      <c r="A53" s="4" t="s">
        <v>804</v>
      </c>
      <c r="B53" s="19" t="s">
        <v>810</v>
      </c>
      <c r="C53" s="20">
        <f t="shared" si="36"/>
        <v>0</v>
      </c>
      <c r="D53" s="21"/>
      <c r="E53" s="21"/>
      <c r="F53" s="21"/>
      <c r="G53" s="21"/>
      <c r="H53" s="21"/>
      <c r="I53" s="19" t="s">
        <v>123</v>
      </c>
      <c r="J53" s="4" t="s">
        <v>747</v>
      </c>
      <c r="M53" s="4"/>
      <c r="N53" s="5" t="s">
        <v>811</v>
      </c>
      <c r="O53" s="25">
        <f t="shared" ref="O53:O66" si="37">SUM(P53:T53)</f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5" t="s">
        <v>774</v>
      </c>
      <c r="V53" s="4" t="s">
        <v>747</v>
      </c>
    </row>
    <row r="54" spans="1:22">
      <c r="A54" s="4"/>
      <c r="B54" s="5" t="s">
        <v>812</v>
      </c>
      <c r="C54" s="6">
        <f t="shared" si="36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5" t="s">
        <v>123</v>
      </c>
      <c r="J54" s="4" t="s">
        <v>747</v>
      </c>
      <c r="M54" s="4"/>
      <c r="N54" s="19" t="s">
        <v>813</v>
      </c>
      <c r="O54" s="29"/>
      <c r="P54" s="29"/>
      <c r="Q54" s="29"/>
      <c r="R54" s="29"/>
      <c r="S54" s="29"/>
      <c r="T54" s="29"/>
      <c r="U54" s="19" t="s">
        <v>774</v>
      </c>
      <c r="V54" s="4"/>
    </row>
    <row r="55" spans="1:22">
      <c r="A55" s="4"/>
      <c r="B55" s="5" t="s">
        <v>814</v>
      </c>
      <c r="C55" s="6">
        <f t="shared" si="36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5" t="s">
        <v>123</v>
      </c>
      <c r="J55" s="4" t="s">
        <v>747</v>
      </c>
      <c r="M55" s="4"/>
      <c r="N55" s="5" t="s">
        <v>815</v>
      </c>
      <c r="O55" s="25">
        <f t="shared" si="37"/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5" t="s">
        <v>774</v>
      </c>
      <c r="V55" s="4"/>
    </row>
    <row r="56" spans="1:22">
      <c r="A56" s="4"/>
      <c r="B56" s="5" t="s">
        <v>816</v>
      </c>
      <c r="C56" s="6">
        <f t="shared" si="36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5" t="s">
        <v>123</v>
      </c>
      <c r="J56" s="4"/>
      <c r="M56" s="4"/>
      <c r="N56" s="5" t="s">
        <v>817</v>
      </c>
      <c r="O56" s="25">
        <f t="shared" si="37"/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5" t="s">
        <v>774</v>
      </c>
      <c r="V56" s="4"/>
    </row>
    <row r="57" spans="1:22">
      <c r="A57" s="4"/>
      <c r="B57" s="19" t="s">
        <v>818</v>
      </c>
      <c r="C57" s="20">
        <f t="shared" si="36"/>
        <v>0</v>
      </c>
      <c r="D57" s="22"/>
      <c r="E57" s="22"/>
      <c r="F57" s="22"/>
      <c r="G57" s="22"/>
      <c r="H57" s="22"/>
      <c r="I57" s="19" t="s">
        <v>123</v>
      </c>
      <c r="J57" s="4" t="s">
        <v>747</v>
      </c>
      <c r="M57" s="4"/>
      <c r="N57" s="5" t="s">
        <v>819</v>
      </c>
      <c r="O57" s="25">
        <f t="shared" si="37"/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5" t="s">
        <v>774</v>
      </c>
      <c r="V57" s="4" t="s">
        <v>760</v>
      </c>
    </row>
    <row r="58" spans="1:22">
      <c r="A58" s="4"/>
      <c r="B58" s="5" t="s">
        <v>820</v>
      </c>
      <c r="C58" s="6">
        <f t="shared" si="36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5" t="s">
        <v>123</v>
      </c>
      <c r="J58" s="4" t="s">
        <v>747</v>
      </c>
      <c r="M58" s="4"/>
      <c r="N58" s="5" t="s">
        <v>821</v>
      </c>
      <c r="O58" s="25">
        <f t="shared" si="37"/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5" t="s">
        <v>774</v>
      </c>
      <c r="V58" s="4" t="s">
        <v>747</v>
      </c>
    </row>
    <row r="59" spans="1:22">
      <c r="A59" s="4"/>
      <c r="B59" s="5" t="s">
        <v>815</v>
      </c>
      <c r="C59" s="6">
        <f t="shared" si="36"/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5" t="s">
        <v>123</v>
      </c>
      <c r="J59" s="4" t="s">
        <v>747</v>
      </c>
      <c r="M59" s="4"/>
      <c r="N59" s="5" t="s">
        <v>822</v>
      </c>
      <c r="O59" s="25">
        <f t="shared" si="37"/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5" t="s">
        <v>774</v>
      </c>
      <c r="V59" s="4" t="s">
        <v>747</v>
      </c>
    </row>
    <row r="60" spans="1:22">
      <c r="A60" s="4"/>
      <c r="B60" s="5" t="s">
        <v>823</v>
      </c>
      <c r="C60" s="6">
        <f t="shared" si="36"/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5" t="s">
        <v>123</v>
      </c>
      <c r="J60" s="4" t="s">
        <v>747</v>
      </c>
      <c r="M60" s="4" t="s">
        <v>802</v>
      </c>
      <c r="N60" s="4" t="s">
        <v>803</v>
      </c>
      <c r="O60" s="26">
        <f t="shared" si="37"/>
        <v>0</v>
      </c>
      <c r="P60" s="13">
        <f t="shared" ref="P60:T60" si="38">SUM(P49:P59)</f>
        <v>0</v>
      </c>
      <c r="Q60" s="13">
        <f t="shared" si="38"/>
        <v>0</v>
      </c>
      <c r="R60" s="13">
        <f t="shared" si="38"/>
        <v>0</v>
      </c>
      <c r="S60" s="13">
        <f t="shared" si="38"/>
        <v>0</v>
      </c>
      <c r="T60" s="13">
        <f t="shared" si="38"/>
        <v>0</v>
      </c>
      <c r="U60" s="4" t="s">
        <v>198</v>
      </c>
      <c r="V60" s="4" t="s">
        <v>747</v>
      </c>
    </row>
    <row r="61" spans="1:22">
      <c r="A61" s="4"/>
      <c r="B61" s="5" t="s">
        <v>824</v>
      </c>
      <c r="C61" s="6">
        <f t="shared" si="36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5" t="s">
        <v>123</v>
      </c>
      <c r="J61" s="4" t="s">
        <v>747</v>
      </c>
      <c r="M61" s="4"/>
      <c r="N61" s="4" t="s">
        <v>825</v>
      </c>
      <c r="O61" s="26">
        <f t="shared" si="37"/>
        <v>0</v>
      </c>
      <c r="P61" s="13">
        <f t="shared" ref="P61:T61" si="39">SUM(P49:P54)</f>
        <v>0</v>
      </c>
      <c r="Q61" s="13">
        <f t="shared" si="39"/>
        <v>0</v>
      </c>
      <c r="R61" s="13">
        <f t="shared" si="39"/>
        <v>0</v>
      </c>
      <c r="S61" s="13">
        <f t="shared" si="39"/>
        <v>0</v>
      </c>
      <c r="T61" s="13">
        <f t="shared" si="39"/>
        <v>0</v>
      </c>
      <c r="U61" s="4" t="s">
        <v>198</v>
      </c>
      <c r="V61" s="4" t="s">
        <v>826</v>
      </c>
    </row>
    <row r="62" spans="1:22">
      <c r="A62" s="4" t="s">
        <v>789</v>
      </c>
      <c r="B62" s="4" t="s">
        <v>464</v>
      </c>
      <c r="C62" s="15">
        <f t="shared" si="36"/>
        <v>0</v>
      </c>
      <c r="D62" s="23" cm="1">
        <f t="array" ref="D62">SUM((D44:D47)+(D30:D33))</f>
        <v>0</v>
      </c>
      <c r="E62" s="23" cm="1">
        <f t="array" ref="E62">SUM((E44:E47)+(E30:E33))</f>
        <v>0</v>
      </c>
      <c r="F62" s="23" cm="1">
        <f t="array" ref="F62">SUM((F44:F47)+(F30:F33))</f>
        <v>0</v>
      </c>
      <c r="G62" s="23" cm="1">
        <f t="array" ref="G62">SUM((G44:G47)+(G30:G33))</f>
        <v>0</v>
      </c>
      <c r="H62" s="23" cm="1">
        <f t="array" ref="H62">SUM((H44:H47)+(H30:H33))</f>
        <v>0</v>
      </c>
      <c r="I62" s="4" t="s">
        <v>198</v>
      </c>
      <c r="J62" s="4" t="s">
        <v>769</v>
      </c>
      <c r="M62" s="4" t="s">
        <v>827</v>
      </c>
      <c r="N62" s="5" t="s">
        <v>828</v>
      </c>
      <c r="O62" s="25">
        <f t="shared" si="37"/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5" t="s">
        <v>205</v>
      </c>
      <c r="V62" s="4" t="s">
        <v>760</v>
      </c>
    </row>
    <row r="63" spans="1:22">
      <c r="A63" s="4"/>
      <c r="B63" s="4" t="s">
        <v>469</v>
      </c>
      <c r="C63" s="15">
        <f t="shared" ref="C63:C73" si="40">SUM(D63:H63)</f>
        <v>0</v>
      </c>
      <c r="D63" s="24">
        <f>(SUM(D36:D39)+SUM(D30:D33))*2+D64</f>
        <v>0</v>
      </c>
      <c r="E63" s="24">
        <f>(SUM(E36:E39)+SUM(E30:E33))*2+E64</f>
        <v>0</v>
      </c>
      <c r="F63" s="24">
        <f>(SUM(F36:F39)+SUM(F30:F33))*2+F64</f>
        <v>0</v>
      </c>
      <c r="G63" s="24">
        <f>(SUM(G36:G39)+SUM(G30:G33))*2+G64</f>
        <v>0</v>
      </c>
      <c r="H63" s="24">
        <f>(SUM(H36:H39)+SUM(H30:H33))*2+H64</f>
        <v>0</v>
      </c>
      <c r="I63" s="4" t="s">
        <v>198</v>
      </c>
      <c r="J63" s="4" t="s">
        <v>769</v>
      </c>
      <c r="M63" s="4"/>
      <c r="N63" s="5" t="s">
        <v>829</v>
      </c>
      <c r="O63" s="25">
        <f t="shared" si="37"/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5" t="s">
        <v>205</v>
      </c>
      <c r="V63" s="4" t="s">
        <v>747</v>
      </c>
    </row>
    <row r="64" spans="1:22">
      <c r="A64" s="4"/>
      <c r="B64" s="4" t="s">
        <v>471</v>
      </c>
      <c r="C64" s="15">
        <f t="shared" si="40"/>
        <v>0</v>
      </c>
      <c r="D64" s="24">
        <f>SUM(D53,D54,D55,D57,D58,D59,D60,D61)*20%</f>
        <v>0</v>
      </c>
      <c r="E64" s="24">
        <f>SUM(E53,E54,E55,E57,E58,E59,E60,E61)*20%</f>
        <v>0</v>
      </c>
      <c r="F64" s="24">
        <f>SUM(F53,F54,F55,F57,F58,F59,F60,F61)*20%</f>
        <v>0</v>
      </c>
      <c r="G64" s="24">
        <f>SUM(G53,G54,G55,G57,G58,G59,G60,G61)*20%</f>
        <v>0</v>
      </c>
      <c r="H64" s="24">
        <f>SUM(H53,H54,H55,H57,H58,H59,H60,H61)*20%</f>
        <v>0</v>
      </c>
      <c r="I64" s="4" t="s">
        <v>198</v>
      </c>
      <c r="J64" s="4" t="s">
        <v>769</v>
      </c>
      <c r="M64" s="4" t="s">
        <v>204</v>
      </c>
      <c r="N64" s="4" t="s">
        <v>830</v>
      </c>
      <c r="O64" s="26">
        <f t="shared" si="37"/>
        <v>0</v>
      </c>
      <c r="P64" s="13">
        <f t="shared" ref="P64:T64" si="41">P62*(SUM(P23:P37)+1)</f>
        <v>0</v>
      </c>
      <c r="Q64" s="13">
        <f t="shared" si="41"/>
        <v>0</v>
      </c>
      <c r="R64" s="13">
        <f t="shared" si="41"/>
        <v>0</v>
      </c>
      <c r="S64" s="13">
        <f t="shared" si="41"/>
        <v>0</v>
      </c>
      <c r="T64" s="13">
        <f t="shared" si="41"/>
        <v>0</v>
      </c>
      <c r="U64" s="4" t="s">
        <v>205</v>
      </c>
      <c r="V64" s="4" t="s">
        <v>760</v>
      </c>
    </row>
    <row r="65" spans="1:22">
      <c r="A65" s="4"/>
      <c r="B65" s="4" t="s">
        <v>794</v>
      </c>
      <c r="C65" s="15">
        <f t="shared" si="40"/>
        <v>0</v>
      </c>
      <c r="D65" s="24">
        <f>(D29/40)*6</f>
        <v>0</v>
      </c>
      <c r="E65" s="24">
        <f>(E29/40)*6</f>
        <v>0</v>
      </c>
      <c r="F65" s="24">
        <f>(F29/40)*6</f>
        <v>0</v>
      </c>
      <c r="G65" s="24">
        <f>(G29/40)*6</f>
        <v>0</v>
      </c>
      <c r="H65" s="24">
        <f>(H29/40)*6</f>
        <v>0</v>
      </c>
      <c r="I65" s="4" t="s">
        <v>198</v>
      </c>
      <c r="J65" s="4" t="s">
        <v>769</v>
      </c>
      <c r="M65" s="4"/>
      <c r="N65" s="4" t="s">
        <v>831</v>
      </c>
      <c r="O65" s="26">
        <f t="shared" si="37"/>
        <v>0</v>
      </c>
      <c r="P65" s="13">
        <f t="shared" ref="P65:T65" si="42">P63*2</f>
        <v>0</v>
      </c>
      <c r="Q65" s="13">
        <f t="shared" si="42"/>
        <v>0</v>
      </c>
      <c r="R65" s="13">
        <f t="shared" si="42"/>
        <v>0</v>
      </c>
      <c r="S65" s="13">
        <f t="shared" si="42"/>
        <v>0</v>
      </c>
      <c r="T65" s="13">
        <f t="shared" si="42"/>
        <v>0</v>
      </c>
      <c r="U65" s="4" t="s">
        <v>205</v>
      </c>
      <c r="V65" s="4" t="s">
        <v>747</v>
      </c>
    </row>
    <row r="66" spans="1:22">
      <c r="A66" s="4"/>
      <c r="B66" s="4" t="s">
        <v>795</v>
      </c>
      <c r="C66" s="15">
        <f t="shared" si="40"/>
        <v>0</v>
      </c>
      <c r="D66" s="24">
        <f>D69*2</f>
        <v>0</v>
      </c>
      <c r="E66" s="24">
        <f>E69*2</f>
        <v>0</v>
      </c>
      <c r="F66" s="24">
        <f>F69*2</f>
        <v>0</v>
      </c>
      <c r="G66" s="24">
        <f>G69*2</f>
        <v>0</v>
      </c>
      <c r="H66" s="24">
        <f>H69*2</f>
        <v>0</v>
      </c>
      <c r="I66" s="4" t="s">
        <v>198</v>
      </c>
      <c r="J66" s="4" t="s">
        <v>769</v>
      </c>
      <c r="M66" s="4"/>
      <c r="N66" s="4" t="s">
        <v>832</v>
      </c>
      <c r="O66" s="26">
        <f t="shared" si="37"/>
        <v>0</v>
      </c>
      <c r="P66" s="13">
        <f t="shared" ref="P66:T66" si="43">SUM(P53:P56)</f>
        <v>0</v>
      </c>
      <c r="Q66" s="13">
        <f t="shared" si="43"/>
        <v>0</v>
      </c>
      <c r="R66" s="13">
        <f t="shared" si="43"/>
        <v>0</v>
      </c>
      <c r="S66" s="13">
        <f t="shared" si="43"/>
        <v>0</v>
      </c>
      <c r="T66" s="13">
        <f t="shared" si="43"/>
        <v>0</v>
      </c>
      <c r="U66" s="4" t="s">
        <v>774</v>
      </c>
      <c r="V66" s="4" t="s">
        <v>747</v>
      </c>
    </row>
    <row r="67" spans="1:21">
      <c r="A67" s="4"/>
      <c r="B67" s="4" t="s">
        <v>796</v>
      </c>
      <c r="C67" s="15">
        <f t="shared" si="40"/>
        <v>0</v>
      </c>
      <c r="D67" s="24">
        <f>SUM(D53:D58)</f>
        <v>0</v>
      </c>
      <c r="E67" s="24">
        <f>SUM(E53:E58)</f>
        <v>0</v>
      </c>
      <c r="F67" s="24">
        <f>SUM(F53:F58)</f>
        <v>0</v>
      </c>
      <c r="G67" s="24">
        <f>SUM(G53:G58)</f>
        <v>0</v>
      </c>
      <c r="H67" s="24">
        <f>SUM(H53:H58)</f>
        <v>0</v>
      </c>
      <c r="I67" s="4" t="s">
        <v>198</v>
      </c>
      <c r="J67" s="4" t="s">
        <v>769</v>
      </c>
      <c r="M67" s="4" t="s">
        <v>833</v>
      </c>
      <c r="N67" s="4" t="s">
        <v>239</v>
      </c>
      <c r="O67" s="4"/>
      <c r="P67" s="4"/>
      <c r="Q67" s="4"/>
      <c r="R67" s="4"/>
      <c r="S67" s="4"/>
      <c r="T67" s="4"/>
      <c r="U67" s="4" t="s">
        <v>42</v>
      </c>
    </row>
    <row r="68" ht="14.25" customHeight="1" spans="1:21">
      <c r="A68" s="4"/>
      <c r="B68" s="4" t="s">
        <v>477</v>
      </c>
      <c r="C68" s="15">
        <f t="shared" si="40"/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4" t="s">
        <v>198</v>
      </c>
      <c r="J68" s="4" t="s">
        <v>834</v>
      </c>
      <c r="M68" s="4"/>
      <c r="N68" s="4" t="s">
        <v>835</v>
      </c>
      <c r="O68" s="4"/>
      <c r="P68" s="4"/>
      <c r="Q68" s="4"/>
      <c r="R68" s="4"/>
      <c r="S68" s="4"/>
      <c r="T68" s="4"/>
      <c r="U68" s="4" t="s">
        <v>42</v>
      </c>
    </row>
    <row r="69" spans="1:21">
      <c r="A69" s="4"/>
      <c r="B69" s="4" t="s">
        <v>798</v>
      </c>
      <c r="C69" s="15">
        <f t="shared" si="40"/>
        <v>0</v>
      </c>
      <c r="D69" s="24">
        <f>SUM(D53:D61)-D64</f>
        <v>0</v>
      </c>
      <c r="E69" s="24">
        <f>SUM(E53:E61)-E64</f>
        <v>0</v>
      </c>
      <c r="F69" s="24">
        <f>SUM(F53:F61)-F64</f>
        <v>0</v>
      </c>
      <c r="G69" s="24">
        <f>SUM(G53:G61)-G64</f>
        <v>0</v>
      </c>
      <c r="H69" s="24">
        <f>SUM(H53:H61)-H64</f>
        <v>0</v>
      </c>
      <c r="I69" s="4" t="s">
        <v>198</v>
      </c>
      <c r="J69" s="4" t="s">
        <v>769</v>
      </c>
      <c r="M69" s="4"/>
      <c r="N69" s="4" t="s">
        <v>836</v>
      </c>
      <c r="O69" s="4"/>
      <c r="P69" s="4"/>
      <c r="Q69" s="4"/>
      <c r="R69" s="4"/>
      <c r="S69" s="4"/>
      <c r="T69" s="4"/>
      <c r="U69" s="4" t="s">
        <v>42</v>
      </c>
    </row>
    <row r="70" spans="1:21">
      <c r="A70" s="4"/>
      <c r="B70" s="4" t="s">
        <v>799</v>
      </c>
      <c r="C70" s="15">
        <f t="shared" si="40"/>
        <v>0</v>
      </c>
      <c r="D70" s="24">
        <f>D64</f>
        <v>0</v>
      </c>
      <c r="E70" s="24">
        <f>E64</f>
        <v>0</v>
      </c>
      <c r="F70" s="24">
        <f>F64</f>
        <v>0</v>
      </c>
      <c r="G70" s="24">
        <f>G64</f>
        <v>0</v>
      </c>
      <c r="H70" s="24">
        <f>H64</f>
        <v>0</v>
      </c>
      <c r="I70" s="4" t="s">
        <v>198</v>
      </c>
      <c r="J70" s="4" t="s">
        <v>769</v>
      </c>
      <c r="M70" s="4" t="s">
        <v>837</v>
      </c>
      <c r="N70" s="5" t="s">
        <v>297</v>
      </c>
      <c r="O70" s="25">
        <f>SUM(P70:T70)</f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5" t="s">
        <v>42</v>
      </c>
    </row>
    <row r="71" spans="1:21">
      <c r="A71" s="4"/>
      <c r="B71" s="5" t="s">
        <v>492</v>
      </c>
      <c r="C71" s="6">
        <f t="shared" si="40"/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 t="s">
        <v>198</v>
      </c>
      <c r="J71" s="4" t="s">
        <v>747</v>
      </c>
      <c r="M71" s="4"/>
      <c r="N71" s="4" t="s">
        <v>838</v>
      </c>
      <c r="O71" s="26">
        <f>SUM(P71:T71)</f>
        <v>0</v>
      </c>
      <c r="P71" s="13">
        <f t="shared" ref="P71:T71" si="44">ROUNDUP((P70*10%)+P70,0)</f>
        <v>0</v>
      </c>
      <c r="Q71" s="13">
        <f t="shared" si="44"/>
        <v>0</v>
      </c>
      <c r="R71" s="13">
        <f t="shared" si="44"/>
        <v>0</v>
      </c>
      <c r="S71" s="13">
        <f t="shared" si="44"/>
        <v>0</v>
      </c>
      <c r="T71" s="13">
        <f t="shared" si="44"/>
        <v>0</v>
      </c>
      <c r="U71" s="4" t="s">
        <v>42</v>
      </c>
    </row>
    <row r="72" spans="1:21">
      <c r="A72" s="4"/>
      <c r="B72" s="5" t="s">
        <v>494</v>
      </c>
      <c r="C72" s="6">
        <f t="shared" si="40"/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 t="s">
        <v>198</v>
      </c>
      <c r="J72" s="4" t="s">
        <v>747</v>
      </c>
      <c r="M72" s="4" t="s">
        <v>839</v>
      </c>
      <c r="N72" s="4" t="s">
        <v>840</v>
      </c>
      <c r="O72" s="4"/>
      <c r="P72" s="4"/>
      <c r="Q72" s="4"/>
      <c r="R72" s="4"/>
      <c r="S72" s="4"/>
      <c r="T72" s="4"/>
      <c r="U72" s="4" t="s">
        <v>42</v>
      </c>
    </row>
    <row r="73" spans="1:22">
      <c r="A73" s="4" t="s">
        <v>204</v>
      </c>
      <c r="B73" s="4" t="s">
        <v>841</v>
      </c>
      <c r="C73" s="15">
        <f t="shared" si="40"/>
        <v>0</v>
      </c>
      <c r="D73" s="13">
        <f>D74</f>
        <v>0</v>
      </c>
      <c r="E73" s="13">
        <f>E74</f>
        <v>0</v>
      </c>
      <c r="F73" s="13">
        <f>F74</f>
        <v>0</v>
      </c>
      <c r="G73" s="13">
        <f>G74</f>
        <v>0</v>
      </c>
      <c r="H73" s="13">
        <f>H74</f>
        <v>0</v>
      </c>
      <c r="I73" s="4" t="s">
        <v>205</v>
      </c>
      <c r="J73" s="4" t="s">
        <v>769</v>
      </c>
      <c r="M73" s="4" t="s">
        <v>842</v>
      </c>
      <c r="N73" s="4" t="s">
        <v>300</v>
      </c>
      <c r="O73" s="26">
        <f>SUM(P73:T73)</f>
        <v>0</v>
      </c>
      <c r="P73" s="24">
        <f t="shared" ref="P73:T73" si="45">IF(P71&gt;200,(P70/200),(P691))</f>
        <v>0</v>
      </c>
      <c r="Q73" s="24">
        <f t="shared" si="45"/>
        <v>0</v>
      </c>
      <c r="R73" s="24">
        <f t="shared" si="45"/>
        <v>0</v>
      </c>
      <c r="S73" s="24">
        <f t="shared" si="45"/>
        <v>0</v>
      </c>
      <c r="T73" s="24">
        <f t="shared" si="45"/>
        <v>0</v>
      </c>
      <c r="U73" s="4" t="s">
        <v>198</v>
      </c>
      <c r="V73" s="4" t="s">
        <v>747</v>
      </c>
    </row>
    <row r="74" spans="1:22">
      <c r="A74" s="4"/>
      <c r="B74" s="4" t="s">
        <v>843</v>
      </c>
      <c r="C74" s="15">
        <f t="shared" ref="C74:C82" si="46">SUM(D74:H74)</f>
        <v>0</v>
      </c>
      <c r="D74" s="13">
        <f>SUM(D36:D39)</f>
        <v>0</v>
      </c>
      <c r="E74" s="13">
        <f>SUM(E36:E39)</f>
        <v>0</v>
      </c>
      <c r="F74" s="13">
        <f>SUM(F36:F39)</f>
        <v>0</v>
      </c>
      <c r="G74" s="13">
        <f>SUM(G36:G39)</f>
        <v>0</v>
      </c>
      <c r="H74" s="13">
        <f>SUM(H36:H39)</f>
        <v>0</v>
      </c>
      <c r="I74" s="4" t="s">
        <v>205</v>
      </c>
      <c r="J74" s="4" t="s">
        <v>769</v>
      </c>
      <c r="M74" s="4" t="s">
        <v>839</v>
      </c>
      <c r="N74" s="4" t="s">
        <v>840</v>
      </c>
      <c r="O74" s="4"/>
      <c r="P74" s="4"/>
      <c r="Q74" s="4"/>
      <c r="R74" s="4"/>
      <c r="S74" s="4"/>
      <c r="T74" s="4"/>
      <c r="U74" s="4" t="s">
        <v>42</v>
      </c>
      <c r="V74" s="4" t="s">
        <v>747</v>
      </c>
    </row>
    <row r="75" spans="1:21">
      <c r="A75" s="4"/>
      <c r="B75" s="4"/>
      <c r="C75" s="15">
        <f t="shared" si="46"/>
        <v>0</v>
      </c>
      <c r="D75" s="4"/>
      <c r="E75" s="4"/>
      <c r="F75" s="4"/>
      <c r="G75" s="4"/>
      <c r="H75" s="4"/>
      <c r="I75" s="4"/>
      <c r="J75" s="4"/>
      <c r="M75" s="4" t="s">
        <v>844</v>
      </c>
      <c r="N75" s="4" t="s">
        <v>845</v>
      </c>
      <c r="O75" s="4"/>
      <c r="P75" s="4"/>
      <c r="Q75" s="4"/>
      <c r="R75" s="4"/>
      <c r="S75" s="4"/>
      <c r="T75" s="4"/>
      <c r="U75" s="4" t="s">
        <v>42</v>
      </c>
    </row>
    <row r="76" spans="1:21">
      <c r="A76" s="4" t="s">
        <v>846</v>
      </c>
      <c r="B76" s="4" t="s">
        <v>786</v>
      </c>
      <c r="C76" s="15">
        <f t="shared" si="46"/>
        <v>0</v>
      </c>
      <c r="D76" s="13">
        <f>D35</f>
        <v>0</v>
      </c>
      <c r="E76" s="13">
        <f>E35</f>
        <v>0</v>
      </c>
      <c r="F76" s="13">
        <f>F35</f>
        <v>0</v>
      </c>
      <c r="G76" s="13">
        <f>G35</f>
        <v>0</v>
      </c>
      <c r="H76" s="13">
        <f>H35</f>
        <v>0</v>
      </c>
      <c r="I76" s="4"/>
      <c r="J76" s="4" t="s">
        <v>769</v>
      </c>
      <c r="M76" s="30" t="s">
        <v>306</v>
      </c>
      <c r="N76" s="31" t="s">
        <v>847</v>
      </c>
      <c r="O76" s="25">
        <f>SUM(P76:T76)</f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5" t="s">
        <v>42</v>
      </c>
    </row>
    <row r="77" spans="1:21">
      <c r="A77" s="4" t="s">
        <v>848</v>
      </c>
      <c r="B77" s="4" t="s">
        <v>849</v>
      </c>
      <c r="C77" s="15">
        <f t="shared" si="46"/>
        <v>0</v>
      </c>
      <c r="D77" s="13">
        <f>D34</f>
        <v>0</v>
      </c>
      <c r="E77" s="13">
        <f>E34</f>
        <v>0</v>
      </c>
      <c r="F77" s="13">
        <f>F34</f>
        <v>0</v>
      </c>
      <c r="G77" s="13">
        <f>G34</f>
        <v>0</v>
      </c>
      <c r="H77" s="13">
        <f>H34</f>
        <v>0</v>
      </c>
      <c r="I77" s="4"/>
      <c r="J77" s="4" t="s">
        <v>769</v>
      </c>
      <c r="M77" s="30" t="s">
        <v>308</v>
      </c>
      <c r="N77" s="31" t="s">
        <v>847</v>
      </c>
      <c r="O77" s="25">
        <f>SUM(P77:T77)</f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5" t="s">
        <v>42</v>
      </c>
    </row>
    <row r="78" spans="1:10">
      <c r="A78" s="4"/>
      <c r="B78" s="4"/>
      <c r="C78" s="15">
        <f t="shared" si="46"/>
        <v>0</v>
      </c>
      <c r="D78" s="4"/>
      <c r="E78" s="4"/>
      <c r="F78" s="4"/>
      <c r="G78" s="4"/>
      <c r="H78" s="4"/>
      <c r="I78" s="4"/>
      <c r="J78" s="4"/>
    </row>
    <row r="79" spans="1:10">
      <c r="A79" s="4" t="s">
        <v>850</v>
      </c>
      <c r="B79" s="4" t="s">
        <v>851</v>
      </c>
      <c r="C79" s="15">
        <f t="shared" si="46"/>
        <v>0</v>
      </c>
      <c r="D79" s="13">
        <f>SUM(D28:D29)+D81</f>
        <v>0</v>
      </c>
      <c r="E79" s="13">
        <f>SUM(E28:E29)</f>
        <v>0</v>
      </c>
      <c r="F79" s="13">
        <f>SUM(F28:F29)</f>
        <v>0</v>
      </c>
      <c r="G79" s="13">
        <f>SUM(G28:G29)</f>
        <v>0</v>
      </c>
      <c r="H79" s="13">
        <f>SUM(H28:H29)</f>
        <v>0</v>
      </c>
      <c r="I79" s="4" t="s">
        <v>746</v>
      </c>
      <c r="J79" s="4" t="s">
        <v>769</v>
      </c>
    </row>
    <row r="80" spans="1:10">
      <c r="A80" s="4" t="s">
        <v>584</v>
      </c>
      <c r="B80" s="4"/>
      <c r="C80" s="15">
        <f t="shared" si="46"/>
        <v>0</v>
      </c>
      <c r="D80" s="13">
        <f>D79</f>
        <v>0</v>
      </c>
      <c r="E80" s="13">
        <f>E79</f>
        <v>0</v>
      </c>
      <c r="F80" s="13">
        <f>F79</f>
        <v>0</v>
      </c>
      <c r="G80" s="13">
        <f>G79</f>
        <v>0</v>
      </c>
      <c r="H80" s="13">
        <f>H79</f>
        <v>0</v>
      </c>
      <c r="I80" s="4" t="s">
        <v>746</v>
      </c>
      <c r="J80" s="4" t="s">
        <v>769</v>
      </c>
    </row>
    <row r="81" spans="1:10">
      <c r="A81" s="4"/>
      <c r="B81" s="4" t="s">
        <v>852</v>
      </c>
      <c r="C81" s="15">
        <f t="shared" si="46"/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4" t="s">
        <v>746</v>
      </c>
      <c r="J81" s="4" t="s">
        <v>747</v>
      </c>
    </row>
    <row r="82" spans="1:10">
      <c r="A82" s="4"/>
      <c r="B82" s="4"/>
      <c r="C82" s="15">
        <f t="shared" si="46"/>
        <v>0</v>
      </c>
      <c r="D82" s="4"/>
      <c r="E82" s="4"/>
      <c r="F82" s="4"/>
      <c r="G82" s="4"/>
      <c r="H82" s="4"/>
      <c r="I82" s="4"/>
      <c r="J82" s="4"/>
    </row>
    <row r="83" spans="1:10">
      <c r="A83" s="30" t="s">
        <v>853</v>
      </c>
      <c r="B83" s="31" t="s">
        <v>854</v>
      </c>
      <c r="C83" s="15">
        <f t="shared" ref="C83:C106" si="47">SUM(D83:H83)</f>
        <v>0</v>
      </c>
      <c r="D83" s="4"/>
      <c r="E83" s="4"/>
      <c r="F83" s="4"/>
      <c r="G83" s="4"/>
      <c r="H83" s="4"/>
      <c r="I83" s="4" t="s">
        <v>42</v>
      </c>
      <c r="J83" s="4" t="s">
        <v>747</v>
      </c>
    </row>
    <row r="84" spans="1:10">
      <c r="A84" s="30"/>
      <c r="B84" s="31" t="s">
        <v>835</v>
      </c>
      <c r="C84" s="15">
        <f t="shared" si="47"/>
        <v>0</v>
      </c>
      <c r="D84" s="4"/>
      <c r="E84" s="4"/>
      <c r="F84" s="4"/>
      <c r="G84" s="4"/>
      <c r="H84" s="4"/>
      <c r="I84" s="4" t="s">
        <v>42</v>
      </c>
      <c r="J84" s="4" t="s">
        <v>747</v>
      </c>
    </row>
    <row r="85" spans="1:10">
      <c r="A85" s="30"/>
      <c r="B85" s="31" t="s">
        <v>836</v>
      </c>
      <c r="C85" s="15">
        <f t="shared" si="47"/>
        <v>0</v>
      </c>
      <c r="D85" s="4"/>
      <c r="E85" s="4"/>
      <c r="F85" s="4"/>
      <c r="G85" s="4"/>
      <c r="H85" s="4"/>
      <c r="I85" s="4" t="s">
        <v>42</v>
      </c>
      <c r="J85" s="4" t="s">
        <v>747</v>
      </c>
    </row>
    <row r="86" spans="1:10">
      <c r="A86" s="30"/>
      <c r="B86" s="5" t="s">
        <v>290</v>
      </c>
      <c r="C86" s="15">
        <f t="shared" si="47"/>
        <v>0</v>
      </c>
      <c r="D86" s="4"/>
      <c r="E86" s="4"/>
      <c r="F86" s="4"/>
      <c r="G86" s="4"/>
      <c r="H86" s="4"/>
      <c r="I86" s="4" t="s">
        <v>746</v>
      </c>
      <c r="J86" s="4" t="s">
        <v>747</v>
      </c>
    </row>
    <row r="87" spans="1:10">
      <c r="A87" s="30"/>
      <c r="B87" s="5" t="s">
        <v>297</v>
      </c>
      <c r="C87" s="15">
        <f t="shared" si="47"/>
        <v>0</v>
      </c>
      <c r="D87" s="4"/>
      <c r="E87" s="4"/>
      <c r="F87" s="4"/>
      <c r="G87" s="4"/>
      <c r="H87" s="4"/>
      <c r="I87" s="4" t="s">
        <v>746</v>
      </c>
      <c r="J87" s="4" t="s">
        <v>747</v>
      </c>
    </row>
    <row r="88" spans="1:10">
      <c r="A88" s="4" t="s">
        <v>855</v>
      </c>
      <c r="B88" s="4"/>
      <c r="C88" s="15">
        <f t="shared" si="47"/>
        <v>0</v>
      </c>
      <c r="D88" s="4"/>
      <c r="E88" s="4"/>
      <c r="F88" s="4"/>
      <c r="G88" s="4"/>
      <c r="H88" s="4"/>
      <c r="I88" s="4"/>
      <c r="J88" s="4"/>
    </row>
    <row r="89" spans="1:10">
      <c r="A89" s="4"/>
      <c r="B89" s="5" t="s">
        <v>290</v>
      </c>
      <c r="C89" s="15">
        <f t="shared" si="47"/>
        <v>0</v>
      </c>
      <c r="D89" s="4">
        <f t="shared" ref="D89:F90" si="48">ROUNDUP((D86*10%)+D86,0)</f>
        <v>0</v>
      </c>
      <c r="E89" s="4">
        <f t="shared" si="48"/>
        <v>0</v>
      </c>
      <c r="F89" s="4">
        <f t="shared" si="48"/>
        <v>0</v>
      </c>
      <c r="G89" s="4">
        <f>ROUNDUP((G86*10%)+G86,0)</f>
        <v>0</v>
      </c>
      <c r="H89" s="4">
        <f>ROUNDUP((H86*10%)+H86,0)</f>
        <v>0</v>
      </c>
      <c r="I89" s="4" t="s">
        <v>746</v>
      </c>
      <c r="J89" s="4" t="s">
        <v>769</v>
      </c>
    </row>
    <row r="90" spans="1:10">
      <c r="A90" s="4"/>
      <c r="B90" s="5" t="s">
        <v>297</v>
      </c>
      <c r="C90" s="15">
        <f t="shared" si="47"/>
        <v>0</v>
      </c>
      <c r="D90" s="4">
        <f t="shared" si="48"/>
        <v>0</v>
      </c>
      <c r="E90" s="4">
        <f t="shared" si="48"/>
        <v>0</v>
      </c>
      <c r="F90" s="4">
        <f t="shared" si="48"/>
        <v>0</v>
      </c>
      <c r="G90" s="4">
        <f>ROUNDUP((G87*10%)+G87,0)</f>
        <v>0</v>
      </c>
      <c r="H90" s="4">
        <f>ROUNDUP((H87*10%)+H87,0)</f>
        <v>0</v>
      </c>
      <c r="I90" s="4" t="s">
        <v>746</v>
      </c>
      <c r="J90" s="4" t="s">
        <v>769</v>
      </c>
    </row>
    <row r="91" spans="1:10">
      <c r="A91" s="30" t="s">
        <v>842</v>
      </c>
      <c r="B91" s="31" t="s">
        <v>294</v>
      </c>
      <c r="C91" s="15">
        <f t="shared" si="47"/>
        <v>0</v>
      </c>
      <c r="D91" s="4">
        <f t="shared" ref="D91:F92" si="49">D89/200</f>
        <v>0</v>
      </c>
      <c r="E91" s="4">
        <f t="shared" si="49"/>
        <v>0</v>
      </c>
      <c r="F91" s="4">
        <f t="shared" si="49"/>
        <v>0</v>
      </c>
      <c r="G91" s="4">
        <f>G89/200</f>
        <v>0</v>
      </c>
      <c r="H91" s="4">
        <f>H89/200</f>
        <v>0</v>
      </c>
      <c r="I91" s="4" t="s">
        <v>198</v>
      </c>
      <c r="J91" s="4" t="s">
        <v>769</v>
      </c>
    </row>
    <row r="92" spans="1:10">
      <c r="A92" s="30"/>
      <c r="B92" s="31" t="s">
        <v>300</v>
      </c>
      <c r="C92" s="15">
        <f t="shared" si="47"/>
        <v>0</v>
      </c>
      <c r="D92" s="4">
        <f t="shared" si="49"/>
        <v>0</v>
      </c>
      <c r="E92" s="4">
        <f t="shared" si="49"/>
        <v>0</v>
      </c>
      <c r="F92" s="4">
        <f t="shared" si="49"/>
        <v>0</v>
      </c>
      <c r="G92" s="4">
        <f>G90/200</f>
        <v>0</v>
      </c>
      <c r="H92" s="4">
        <f>H90/200</f>
        <v>0</v>
      </c>
      <c r="I92" s="4" t="s">
        <v>198</v>
      </c>
      <c r="J92" s="4" t="s">
        <v>769</v>
      </c>
    </row>
    <row r="93" spans="1:10">
      <c r="A93" s="30" t="s">
        <v>856</v>
      </c>
      <c r="B93" s="31" t="s">
        <v>840</v>
      </c>
      <c r="C93" s="15">
        <f t="shared" si="47"/>
        <v>0</v>
      </c>
      <c r="D93" s="4"/>
      <c r="E93" s="4"/>
      <c r="F93" s="4"/>
      <c r="G93" s="4"/>
      <c r="H93" s="4"/>
      <c r="I93" s="4" t="s">
        <v>123</v>
      </c>
      <c r="J93" s="4" t="s">
        <v>747</v>
      </c>
    </row>
    <row r="94" spans="1:10">
      <c r="A94" s="30"/>
      <c r="B94" s="31" t="s">
        <v>857</v>
      </c>
      <c r="C94" s="15">
        <f t="shared" si="47"/>
        <v>0</v>
      </c>
      <c r="D94" s="4"/>
      <c r="E94" s="4"/>
      <c r="F94" s="4"/>
      <c r="G94" s="4"/>
      <c r="H94" s="4"/>
      <c r="I94" s="4" t="s">
        <v>123</v>
      </c>
      <c r="J94" s="4" t="s">
        <v>747</v>
      </c>
    </row>
    <row r="95" spans="1:10">
      <c r="A95" s="30"/>
      <c r="B95" s="31" t="s">
        <v>858</v>
      </c>
      <c r="C95" s="15">
        <f t="shared" si="47"/>
        <v>0</v>
      </c>
      <c r="D95" s="4"/>
      <c r="E95" s="4"/>
      <c r="F95" s="4"/>
      <c r="G95" s="4"/>
      <c r="H95" s="4"/>
      <c r="I95" s="4" t="s">
        <v>123</v>
      </c>
      <c r="J95" s="4" t="s">
        <v>747</v>
      </c>
    </row>
    <row r="96" spans="1:10">
      <c r="A96" s="30"/>
      <c r="B96" s="31" t="s">
        <v>859</v>
      </c>
      <c r="C96" s="15">
        <f t="shared" si="47"/>
        <v>0</v>
      </c>
      <c r="D96" s="4"/>
      <c r="E96" s="4"/>
      <c r="F96" s="4"/>
      <c r="G96" s="4"/>
      <c r="H96" s="4"/>
      <c r="I96" s="4" t="s">
        <v>123</v>
      </c>
      <c r="J96" s="4" t="s">
        <v>747</v>
      </c>
    </row>
    <row r="97" spans="1:10">
      <c r="A97" s="30" t="s">
        <v>839</v>
      </c>
      <c r="B97" s="31" t="s">
        <v>840</v>
      </c>
      <c r="C97" s="15">
        <f t="shared" si="47"/>
        <v>0</v>
      </c>
      <c r="D97" s="4"/>
      <c r="E97" s="4"/>
      <c r="F97" s="4"/>
      <c r="G97" s="4"/>
      <c r="H97" s="4"/>
      <c r="I97" s="4" t="s">
        <v>42</v>
      </c>
      <c r="J97" s="4" t="s">
        <v>747</v>
      </c>
    </row>
    <row r="98" spans="1:10">
      <c r="A98" s="30"/>
      <c r="B98" s="31" t="s">
        <v>857</v>
      </c>
      <c r="C98" s="15">
        <f t="shared" si="47"/>
        <v>0</v>
      </c>
      <c r="D98" s="4"/>
      <c r="E98" s="4"/>
      <c r="F98" s="4"/>
      <c r="G98" s="4"/>
      <c r="H98" s="4"/>
      <c r="I98" s="4" t="s">
        <v>42</v>
      </c>
      <c r="J98" s="4" t="s">
        <v>747</v>
      </c>
    </row>
    <row r="99" spans="1:10">
      <c r="A99" s="30"/>
      <c r="B99" s="31" t="s">
        <v>858</v>
      </c>
      <c r="C99" s="15">
        <f t="shared" si="47"/>
        <v>0</v>
      </c>
      <c r="D99" s="4"/>
      <c r="E99" s="4"/>
      <c r="F99" s="4"/>
      <c r="G99" s="4"/>
      <c r="H99" s="4"/>
      <c r="I99" s="4" t="s">
        <v>42</v>
      </c>
      <c r="J99" s="4" t="s">
        <v>747</v>
      </c>
    </row>
    <row r="100" spans="1:10">
      <c r="A100" s="30" t="s">
        <v>860</v>
      </c>
      <c r="B100" s="31"/>
      <c r="C100" s="15">
        <f t="shared" si="47"/>
        <v>0</v>
      </c>
      <c r="D100" s="4">
        <f>D97</f>
        <v>0</v>
      </c>
      <c r="E100" s="4">
        <f>E97</f>
        <v>0</v>
      </c>
      <c r="F100" s="4">
        <f>F97</f>
        <v>0</v>
      </c>
      <c r="G100" s="4">
        <f>G97</f>
        <v>0</v>
      </c>
      <c r="H100" s="4">
        <f>H97</f>
        <v>0</v>
      </c>
      <c r="I100" s="4" t="s">
        <v>198</v>
      </c>
      <c r="J100" s="4" t="s">
        <v>769</v>
      </c>
    </row>
    <row r="101" spans="1:10">
      <c r="A101" s="32" t="s">
        <v>844</v>
      </c>
      <c r="B101" s="32" t="s">
        <v>845</v>
      </c>
      <c r="C101" s="20">
        <f t="shared" si="47"/>
        <v>0</v>
      </c>
      <c r="D101" s="32"/>
      <c r="E101" s="32"/>
      <c r="F101" s="32"/>
      <c r="G101" s="32"/>
      <c r="H101" s="32"/>
      <c r="I101" s="4" t="s">
        <v>42</v>
      </c>
      <c r="J101" s="4" t="s">
        <v>747</v>
      </c>
    </row>
    <row r="102" spans="1:10">
      <c r="A102" s="30" t="s">
        <v>359</v>
      </c>
      <c r="B102" s="31" t="s">
        <v>359</v>
      </c>
      <c r="C102" s="15">
        <f t="shared" si="47"/>
        <v>0</v>
      </c>
      <c r="D102" s="4">
        <f>D90</f>
        <v>0</v>
      </c>
      <c r="E102" s="4">
        <f>E90</f>
        <v>0</v>
      </c>
      <c r="F102" s="4">
        <f>F90</f>
        <v>0</v>
      </c>
      <c r="G102" s="4">
        <f>G90</f>
        <v>0</v>
      </c>
      <c r="H102" s="4">
        <f>H90</f>
        <v>0</v>
      </c>
      <c r="I102" s="4" t="s">
        <v>42</v>
      </c>
      <c r="J102" s="4" t="s">
        <v>769</v>
      </c>
    </row>
    <row r="103" spans="1:10">
      <c r="A103" s="30" t="s">
        <v>861</v>
      </c>
      <c r="B103" s="31" t="s">
        <v>862</v>
      </c>
      <c r="C103" s="15">
        <f t="shared" si="47"/>
        <v>0</v>
      </c>
      <c r="D103" s="4"/>
      <c r="E103" s="4"/>
      <c r="F103" s="4"/>
      <c r="G103" s="4"/>
      <c r="H103" s="4"/>
      <c r="I103" s="4" t="s">
        <v>198</v>
      </c>
      <c r="J103" s="4" t="s">
        <v>747</v>
      </c>
    </row>
    <row r="104" spans="1:10">
      <c r="A104" s="30"/>
      <c r="B104" s="31" t="s">
        <v>357</v>
      </c>
      <c r="C104" s="15">
        <f t="shared" si="47"/>
        <v>0</v>
      </c>
      <c r="D104" s="4">
        <f>D103</f>
        <v>0</v>
      </c>
      <c r="E104" s="4">
        <f>E103</f>
        <v>0</v>
      </c>
      <c r="F104" s="4">
        <f>F103</f>
        <v>0</v>
      </c>
      <c r="G104" s="4">
        <f>G103</f>
        <v>0</v>
      </c>
      <c r="H104" s="4">
        <f>H103</f>
        <v>0</v>
      </c>
      <c r="I104" s="4" t="s">
        <v>198</v>
      </c>
      <c r="J104" s="4" t="s">
        <v>769</v>
      </c>
    </row>
    <row r="105" spans="1:10">
      <c r="A105" s="30" t="s">
        <v>306</v>
      </c>
      <c r="B105" s="31" t="s">
        <v>847</v>
      </c>
      <c r="C105" s="15">
        <f t="shared" si="47"/>
        <v>0</v>
      </c>
      <c r="D105" s="4"/>
      <c r="E105" s="4"/>
      <c r="F105" s="4"/>
      <c r="G105" s="4"/>
      <c r="H105" s="4"/>
      <c r="I105" s="4" t="s">
        <v>42</v>
      </c>
      <c r="J105" s="4" t="s">
        <v>747</v>
      </c>
    </row>
    <row r="106" spans="1:10">
      <c r="A106" s="30" t="s">
        <v>308</v>
      </c>
      <c r="B106" s="31" t="s">
        <v>847</v>
      </c>
      <c r="C106" s="15">
        <f t="shared" si="47"/>
        <v>0</v>
      </c>
      <c r="D106" s="4"/>
      <c r="E106" s="4"/>
      <c r="F106" s="4"/>
      <c r="G106" s="4"/>
      <c r="H106" s="4"/>
      <c r="I106" s="4" t="s">
        <v>42</v>
      </c>
      <c r="J106" s="4" t="s">
        <v>747</v>
      </c>
    </row>
    <row r="110" spans="1:1">
      <c r="A110" t="s">
        <v>863</v>
      </c>
    </row>
    <row r="111" spans="1:3">
      <c r="A111" t="s">
        <v>737</v>
      </c>
      <c r="B111" t="s">
        <v>738</v>
      </c>
      <c r="C111" t="s">
        <v>739</v>
      </c>
    </row>
    <row r="112" spans="1:3">
      <c r="A112" s="33">
        <v>69</v>
      </c>
      <c r="B112" s="33">
        <v>0</v>
      </c>
      <c r="C112" s="33">
        <v>0</v>
      </c>
    </row>
    <row r="113" spans="1:3">
      <c r="A113" s="34">
        <v>33</v>
      </c>
      <c r="B113" s="34">
        <v>0</v>
      </c>
      <c r="C113" s="34">
        <v>0</v>
      </c>
    </row>
    <row r="114" spans="1:3">
      <c r="A114" s="34">
        <v>83</v>
      </c>
      <c r="B114" s="34">
        <v>0</v>
      </c>
      <c r="C114" s="34">
        <v>0</v>
      </c>
    </row>
    <row r="115" spans="1:3">
      <c r="A115" s="34">
        <v>79</v>
      </c>
      <c r="B115" s="34">
        <v>0</v>
      </c>
      <c r="C115" s="34">
        <v>0</v>
      </c>
    </row>
    <row r="116" spans="1:3">
      <c r="A116" s="34">
        <v>53</v>
      </c>
      <c r="B116" s="34">
        <v>0</v>
      </c>
      <c r="C116" s="34">
        <v>0</v>
      </c>
    </row>
    <row r="117" spans="1:3">
      <c r="A117" s="34">
        <v>44</v>
      </c>
      <c r="B117" s="34">
        <v>0</v>
      </c>
      <c r="C117" s="34">
        <v>0</v>
      </c>
    </row>
    <row r="118" spans="1:3">
      <c r="A118" s="34">
        <v>99</v>
      </c>
      <c r="B118" s="34">
        <v>0</v>
      </c>
      <c r="C118" s="34">
        <v>0</v>
      </c>
    </row>
    <row r="119" spans="1:3">
      <c r="A119" s="34">
        <v>27</v>
      </c>
      <c r="B119" s="34"/>
      <c r="C119" s="34"/>
    </row>
    <row r="120" spans="1:3">
      <c r="A120" s="34">
        <v>54</v>
      </c>
      <c r="B120" s="34"/>
      <c r="C120" s="34"/>
    </row>
    <row r="121" spans="1:3">
      <c r="A121" s="34">
        <v>44</v>
      </c>
      <c r="B121" s="34"/>
      <c r="C121" s="34"/>
    </row>
    <row r="122" spans="1:3">
      <c r="A122" s="34">
        <v>45</v>
      </c>
      <c r="B122" s="34"/>
      <c r="C122" s="34"/>
    </row>
    <row r="123" spans="1:3">
      <c r="A123" s="34">
        <v>78</v>
      </c>
      <c r="B123" s="34"/>
      <c r="C123" s="34"/>
    </row>
    <row r="124" spans="1:3">
      <c r="A124" s="34">
        <v>37</v>
      </c>
      <c r="B124" s="34"/>
      <c r="C124" s="34"/>
    </row>
    <row r="125" spans="1:3">
      <c r="A125" s="34">
        <v>50</v>
      </c>
      <c r="B125" s="34"/>
      <c r="C125" s="34"/>
    </row>
    <row r="126" spans="1:3">
      <c r="A126" s="34">
        <v>49</v>
      </c>
      <c r="B126" s="34"/>
      <c r="C126" s="34"/>
    </row>
    <row r="127" spans="1:3">
      <c r="A127" s="34">
        <v>152</v>
      </c>
      <c r="B127" s="34"/>
      <c r="C127" s="34"/>
    </row>
    <row r="128" spans="1:3">
      <c r="A128" s="34">
        <v>50</v>
      </c>
      <c r="B128" s="34"/>
      <c r="C128" s="34"/>
    </row>
    <row r="129" spans="1:3">
      <c r="A129" s="34">
        <v>42</v>
      </c>
      <c r="B129" s="34"/>
      <c r="C129" s="34"/>
    </row>
    <row r="130" spans="1:3">
      <c r="A130" s="34"/>
      <c r="B130" s="34"/>
      <c r="C130" s="34"/>
    </row>
    <row r="131" spans="1:3">
      <c r="A131" s="34"/>
      <c r="B131" s="34"/>
      <c r="C131" s="34"/>
    </row>
    <row r="132" spans="1:3">
      <c r="A132" s="34"/>
      <c r="B132" s="34"/>
      <c r="C132" s="34"/>
    </row>
    <row r="133" spans="1:3">
      <c r="A133" s="34"/>
      <c r="B133" s="34"/>
      <c r="C133" s="34"/>
    </row>
    <row r="134" spans="1:3">
      <c r="A134" s="35"/>
      <c r="B134" s="35"/>
      <c r="C134" s="35"/>
    </row>
  </sheetData>
  <mergeCells count="3">
    <mergeCell ref="A14:B14"/>
    <mergeCell ref="A28:B28"/>
    <mergeCell ref="A48:B48"/>
  </mergeCells>
  <pageMargins left="0.75" right="0.75" top="1" bottom="1" header="0.5" footer="0.5"/>
  <headerFooter/>
  <ignoredErrors>
    <ignoredError sqref="E52 E6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 PO Permit</vt:lpstr>
      <vt:lpstr>BoQ NRO Cluster</vt:lpstr>
      <vt:lpstr>BoQ NRO All Feeder</vt:lpstr>
      <vt:lpstr>BoM 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Mas Ikhsan</cp:lastModifiedBy>
  <dcterms:created xsi:type="dcterms:W3CDTF">2021-06-22T07:23:00Z</dcterms:created>
  <cp:lastPrinted>2021-07-05T14:58:00Z</cp:lastPrinted>
  <dcterms:modified xsi:type="dcterms:W3CDTF">2026-02-27T07:23:34Z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2057-12.2.0.23197</vt:lpwstr>
  </property>
  <property fmtid="{D5CDD505-2E9C-101B-9397-08002B2CF9AE}" pid="4" name="ICV">
    <vt:lpwstr>07AC1E7522FF409FB420C175CCE7D0D0_13</vt:lpwstr>
  </property>
</Properties>
</file>